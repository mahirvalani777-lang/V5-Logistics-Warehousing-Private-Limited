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baids\Downloads\"/>
    </mc:Choice>
  </mc:AlternateContent>
  <xr:revisionPtr revIDLastSave="0" documentId="13_ncr:1_{BD4C28E0-6820-4979-A473-E075F53E66A8}" xr6:coauthVersionLast="47" xr6:coauthVersionMax="47" xr10:uidLastSave="{00000000-0000-0000-0000-000000000000}"/>
  <bookViews>
    <workbookView xWindow="-108" yWindow="-108" windowWidth="23256" windowHeight="12456" tabRatio="500" firstSheet="1" activeTab="6" xr2:uid="{00000000-000D-0000-FFFF-FFFF00000000}"/>
  </bookViews>
  <sheets>
    <sheet name="README" sheetId="1" r:id="rId1"/>
    <sheet name="Inputs" sheetId="2" r:id="rId2"/>
    <sheet name="Route_Model" sheetId="3" r:id="rId3"/>
    <sheet name="Components" sheetId="4" r:id="rId4"/>
    <sheet name="Hub_Sensitivity" sheetId="5" r:id="rId5"/>
    <sheet name="Dashboard" sheetId="6" r:id="rId6"/>
    <sheet name="Not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" i="3" l="1"/>
  <c r="B9" i="6" s="1"/>
  <c r="D14" i="3"/>
  <c r="D15" i="3" s="1"/>
  <c r="C14" i="3"/>
  <c r="C15" i="3" s="1"/>
  <c r="B14" i="3"/>
  <c r="B15" i="3" s="1"/>
  <c r="E15" i="3" s="1"/>
  <c r="B10" i="6" s="1"/>
  <c r="D11" i="3"/>
  <c r="C11" i="3"/>
  <c r="B11" i="3"/>
  <c r="D10" i="3"/>
  <c r="D6" i="4" s="1"/>
  <c r="D10" i="4" s="1"/>
  <c r="C10" i="3"/>
  <c r="C6" i="4" s="1"/>
  <c r="C10" i="4" s="1"/>
  <c r="B10" i="3"/>
  <c r="B6" i="4" s="1"/>
  <c r="B10" i="4" s="1"/>
  <c r="D9" i="3"/>
  <c r="C9" i="3"/>
  <c r="B9" i="3"/>
  <c r="D8" i="3"/>
  <c r="D5" i="4" s="1"/>
  <c r="D9" i="4" s="1"/>
  <c r="C8" i="3"/>
  <c r="C5" i="4" s="1"/>
  <c r="C9" i="4" s="1"/>
  <c r="B8" i="3"/>
  <c r="B5" i="4" s="1"/>
  <c r="B9" i="4" s="1"/>
  <c r="D6" i="3"/>
  <c r="D5" i="3"/>
  <c r="D7" i="3" s="1"/>
  <c r="D13" i="3" s="1"/>
  <c r="D17" i="3" s="1"/>
  <c r="D29" i="3" s="1"/>
  <c r="C5" i="3"/>
  <c r="C7" i="3" s="1"/>
  <c r="C13" i="3" s="1"/>
  <c r="C17" i="3" s="1"/>
  <c r="C29" i="3" s="1"/>
  <c r="B5" i="3"/>
  <c r="B7" i="3" s="1"/>
  <c r="B13" i="3" s="1"/>
  <c r="B17" i="3" s="1"/>
  <c r="D4" i="3"/>
  <c r="C4" i="3"/>
  <c r="B4" i="3"/>
  <c r="E10" i="4" l="1"/>
  <c r="E9" i="4"/>
  <c r="D4" i="4"/>
  <c r="D12" i="3"/>
  <c r="E17" i="3"/>
  <c r="B29" i="3"/>
  <c r="C18" i="4"/>
  <c r="C6" i="3"/>
  <c r="B6" i="3"/>
  <c r="B18" i="4"/>
  <c r="D7" i="4" l="1"/>
  <c r="D8" i="4"/>
  <c r="D20" i="3"/>
  <c r="D16" i="3"/>
  <c r="B5" i="6"/>
  <c r="E29" i="3"/>
  <c r="C12" i="3"/>
  <c r="C4" i="4"/>
  <c r="B4" i="4"/>
  <c r="B12" i="3"/>
  <c r="D11" i="4" l="1"/>
  <c r="D12" i="4"/>
  <c r="D21" i="3"/>
  <c r="D19" i="6"/>
  <c r="D18" i="3"/>
  <c r="D28" i="3"/>
  <c r="C16" i="3"/>
  <c r="C20" i="3"/>
  <c r="C7" i="4"/>
  <c r="C8" i="4"/>
  <c r="B7" i="4"/>
  <c r="B8" i="4"/>
  <c r="B20" i="3"/>
  <c r="B16" i="3"/>
  <c r="D13" i="4" l="1"/>
  <c r="D14" i="4"/>
  <c r="D19" i="3"/>
  <c r="C19" i="6" s="1"/>
  <c r="D30" i="3"/>
  <c r="B19" i="6"/>
  <c r="C18" i="3"/>
  <c r="C28" i="3"/>
  <c r="D18" i="6"/>
  <c r="C21" i="3"/>
  <c r="C11" i="4"/>
  <c r="C12" i="4"/>
  <c r="B12" i="4"/>
  <c r="B11" i="4"/>
  <c r="E8" i="4"/>
  <c r="B21" i="3"/>
  <c r="D17" i="6"/>
  <c r="E16" i="3"/>
  <c r="B18" i="3"/>
  <c r="B28" i="3"/>
  <c r="C19" i="3" l="1"/>
  <c r="C18" i="6" s="1"/>
  <c r="C30" i="3"/>
  <c r="B18" i="6"/>
  <c r="C13" i="4"/>
  <c r="C14" i="4"/>
  <c r="B13" i="4"/>
  <c r="B14" i="4"/>
  <c r="E11" i="4"/>
  <c r="B3" i="5"/>
  <c r="B4" i="6"/>
  <c r="E28" i="3"/>
  <c r="B19" i="3"/>
  <c r="C17" i="6" s="1"/>
  <c r="B30" i="3"/>
  <c r="E18" i="3"/>
  <c r="B17" i="6"/>
  <c r="E12" i="4" l="1"/>
  <c r="E14" i="4"/>
  <c r="E13" i="4"/>
  <c r="E15" i="4"/>
  <c r="E7" i="4"/>
  <c r="C18" i="5"/>
  <c r="C19" i="5"/>
  <c r="B4" i="5"/>
  <c r="B6" i="6"/>
  <c r="E19" i="3"/>
  <c r="E20" i="3"/>
  <c r="B8" i="6" s="1"/>
  <c r="E30" i="3"/>
  <c r="B9" i="5" l="1"/>
  <c r="B10" i="5"/>
  <c r="D19" i="5"/>
  <c r="B13" i="6" s="1"/>
  <c r="B5" i="5"/>
  <c r="B11" i="6" s="1"/>
  <c r="B12" i="5"/>
  <c r="B13" i="5"/>
  <c r="B14" i="5"/>
  <c r="D18" i="5"/>
  <c r="B12" i="6" s="1"/>
  <c r="B8" i="5"/>
  <c r="B11" i="5"/>
  <c r="E32" i="3"/>
  <c r="B7" i="6"/>
  <c r="C9" i="5" l="1"/>
  <c r="D9" i="5"/>
  <c r="D10" i="5"/>
  <c r="C10" i="5"/>
  <c r="D12" i="5"/>
  <c r="C12" i="5"/>
  <c r="C13" i="5"/>
  <c r="D13" i="5"/>
  <c r="D14" i="5"/>
  <c r="C14" i="5"/>
  <c r="D8" i="5"/>
  <c r="C8" i="5"/>
  <c r="D11" i="5"/>
  <c r="C11" i="5"/>
</calcChain>
</file>

<file path=xl/sharedStrings.xml><?xml version="1.0" encoding="utf-8"?>
<sst xmlns="http://schemas.openxmlformats.org/spreadsheetml/2006/main" count="174" uniqueCount="134">
  <si>
    <t>V5 Logistics – Transportation Cost Model</t>
  </si>
  <si>
    <t>Colour legend: BLUE on light blue = supplied source input (editable). BLUE on yellow = analyst/user scenario assumption (editable). BLACK on grey = formula.</t>
  </si>
  <si>
    <t>Sheets: Inputs | Route_Model | Components | Hub_Sensitivity | Dashboard | Notes.</t>
  </si>
  <si>
    <t>All figures are MODELLED using supplied assumptions (80 machines per route, 20 machines per 6-tyre vehicle). They are not actual V5 shipment volumes, expenditure or verified savings.</t>
  </si>
  <si>
    <t>Savings are modelled GROSS transportation-cost savings. Incremental Kolhapur hub costs are not available; the Hub_Sensitivity sheet uses editable illustrative values.</t>
  </si>
  <si>
    <t>Net benefit % is a percentage of baseline transportation cost, not a profit margin.</t>
  </si>
  <si>
    <t>Chennai primary cost per vehicle (₹48,600 / ₹38,000) are supplied working figures pending confirmation against the original quotation. No per-km rate has been derived.</t>
  </si>
  <si>
    <t>Audit: the brief's combined reduction of 14.79% recalculates to 14.78% (₹2,60,560 ÷ ₹17,62,400 = 14.784%). All rupee totals reconcile exactly.</t>
  </si>
  <si>
    <t>Inputs – supplied assumptions (editable)</t>
  </si>
  <si>
    <t>Edit blue cells only. Everything else recalculates.</t>
  </si>
  <si>
    <t>Parameter</t>
  </si>
  <si>
    <t>Goa</t>
  </si>
  <si>
    <t>Bengaluru</t>
  </si>
  <si>
    <t>Chennai</t>
  </si>
  <si>
    <t>Note</t>
  </si>
  <si>
    <t>Machines modelled per route</t>
  </si>
  <si>
    <t>Modelling basis, NOT actual shipment volume</t>
  </si>
  <si>
    <t>Machines per vehicle</t>
  </si>
  <si>
    <t>6-tyre vehicle; 10 t nominal; max planning capacity 20 machines (single value, cell B5)</t>
  </si>
  <si>
    <t>Bhiwandi primary distance (km)</t>
  </si>
  <si>
    <t>n/a</t>
  </si>
  <si>
    <t>Cost distance; may differ from transit-time report</t>
  </si>
  <si>
    <t>Bhiwandi rate (₹/km)</t>
  </si>
  <si>
    <t>Kolhapur primary distance (km)</t>
  </si>
  <si>
    <t>Cost distance; Goa 250 km vs 223 km in transit-time report</t>
  </si>
  <si>
    <t>Kolhapur rate (₹/km)</t>
  </si>
  <si>
    <t>Chennai: Bhiwandi primary cost per vehicle (₹)</t>
  </si>
  <si>
    <t>Supplied working figure – confirm against quotation</t>
  </si>
  <si>
    <t>Chennai: Kolhapur primary cost per vehicle (₹)</t>
  </si>
  <si>
    <t>Supplied working figure – confirm; equals Bengaluru Bhiwandi vehicle cost, verify not a transcription slip</t>
  </si>
  <si>
    <t>Secondary transport per machine – Bhiwandi (₹)</t>
  </si>
  <si>
    <t>Supplied; identical across routes</t>
  </si>
  <si>
    <t>Secondary transport per machine – Kolhapur (₹)</t>
  </si>
  <si>
    <t>Last-mile per machine – Bhiwandi (₹)</t>
  </si>
  <si>
    <t>Supplied</t>
  </si>
  <si>
    <t>Last-mile per machine – Kolhapur (₹)</t>
  </si>
  <si>
    <t>Supplied; unchanged between scenarios</t>
  </si>
  <si>
    <t>Route-level cost model</t>
  </si>
  <si>
    <t>Per-machine and 80-machine comparison. Same machine quantity in both scenarios.</t>
  </si>
  <si>
    <t>Line</t>
  </si>
  <si>
    <t>Total (3 routes)</t>
  </si>
  <si>
    <t>Primary cost per vehicle – Bhiwandi (₹)</t>
  </si>
  <si>
    <t>Primary cost per vehicle – Kolhapur (₹)</t>
  </si>
  <si>
    <t>Primary cost per machine – Bhiwandi (₹)</t>
  </si>
  <si>
    <t>Primary cost per machine – Kolhapur (₹)</t>
  </si>
  <si>
    <t>Secondary per machine – Bhiwandi (₹)</t>
  </si>
  <si>
    <t>Secondary per machine – Kolhapur (₹)</t>
  </si>
  <si>
    <t>Total cost per machine – Bhiwandi (₹)</t>
  </si>
  <si>
    <t>Total cost per machine – Kolhapur (₹)</t>
  </si>
  <si>
    <t>Machines modelled</t>
  </si>
  <si>
    <t>Equivalent vehicle loads</t>
  </si>
  <si>
    <t>Total cost – Bhiwandi scenario (₹)</t>
  </si>
  <si>
    <t>Total cost – Kolhapur scenario (₹)</t>
  </si>
  <si>
    <t>Modelled gross saving (₹)</t>
  </si>
  <si>
    <t>Reduction vs Bhiwandi cost (%)</t>
  </si>
  <si>
    <t>Saving per machine (₹)</t>
  </si>
  <si>
    <t>Saving per 20-machine load (₹)</t>
  </si>
  <si>
    <t>Audit check vs supplied figures</t>
  </si>
  <si>
    <t>Total</t>
  </si>
  <si>
    <t>Supplied Bhiwandi cost (₹)</t>
  </si>
  <si>
    <t>Supplied Kolhapur cost (₹)</t>
  </si>
  <si>
    <t>Supplied gross saving (₹)</t>
  </si>
  <si>
    <t>Difference: model − supplied, Bhiwandi (₹)</t>
  </si>
  <si>
    <t>Difference: model − supplied, Kolhapur (₹)</t>
  </si>
  <si>
    <t>Difference: model − supplied, saving (₹)</t>
  </si>
  <si>
    <t>Supplied combined reduction (%)</t>
  </si>
  <si>
    <t>Difference: model − supplied (percentage points)</t>
  </si>
  <si>
    <t>All rupee differences are zero. The combined percentage differs by about 0.005 pp: 14.784% rounds to 14.78%, not 14.79%.</t>
  </si>
  <si>
    <t>Cost-component analysis</t>
  </si>
  <si>
    <t>Saving attributable to each component. Last-mile is unchanged in the supplied model.</t>
  </si>
  <si>
    <t>Primary saving per machine (₹)</t>
  </si>
  <si>
    <t>Secondary saving per machine (₹)</t>
  </si>
  <si>
    <t>Last-mile saving per machine (₹)</t>
  </si>
  <si>
    <t>Total saving per machine (₹)</t>
  </si>
  <si>
    <t>Primary saving, all machines (₹)</t>
  </si>
  <si>
    <t>Secondary saving, all machines (₹)</t>
  </si>
  <si>
    <t>Last-mile saving, all machines (₹)</t>
  </si>
  <si>
    <t>Total saving (₹)</t>
  </si>
  <si>
    <t>Primary share of savings (%)</t>
  </si>
  <si>
    <t>Secondary share of savings (%)</t>
  </si>
  <si>
    <t>Last-mile share of savings (%)</t>
  </si>
  <si>
    <t>Check: component total − Route_Model gross saving (₹)</t>
  </si>
  <si>
    <t>Primary-rate headroom (calculated)</t>
  </si>
  <si>
    <t>Kolhapur ₹/km at which primary cost per vehicle equals Bhiwandi</t>
  </si>
  <si>
    <t>Supplied Kolhapur rates are ₹44 and ₹42. Primary component only; Chennai has no supplied rate/distance.</t>
  </si>
  <si>
    <t>Incremental Kolhapur hub-cost sensitivity</t>
  </si>
  <si>
    <t>Hub costs are ILLUSTRATIVE INPUTS (yellow). No actual V5 hub expense data are available.</t>
  </si>
  <si>
    <t>Baseline transportation cost – Bhiwandi (₹)</t>
  </si>
  <si>
    <t>Modelled gross transportation-cost saving (₹)</t>
  </si>
  <si>
    <t>Break-even incremental hub cost (₹)</t>
  </si>
  <si>
    <t>Incremental hub operating cost (₹)</t>
  </si>
  <si>
    <t>Net modelled benefit (₹)</t>
  </si>
  <si>
    <t>Net benefit (% of baseline cost)</t>
  </si>
  <si>
    <t>Modelled outcome</t>
  </si>
  <si>
    <t>Reverse-calculated planning hypothesis</t>
  </si>
  <si>
    <t>Target net benefit (% of baseline)</t>
  </si>
  <si>
    <t>Implied incremental hub cost (₹)</t>
  </si>
  <si>
    <t>Scenario A</t>
  </si>
  <si>
    <t>Scenario B</t>
  </si>
  <si>
    <t>Net modelled benefit = gross saving − incremental hub cost. Net % = net ÷ baseline transportation cost (not a profit margin). Scenarios A/B show the hub cost that WOULD be implied by a 5–6% net benefit; they are not actual expenses or results.</t>
  </si>
  <si>
    <t>Executive dashboard (modelled)</t>
  </si>
  <si>
    <t>All cells link to model sheets. Modelled gross savings; not verified realised savings.</t>
  </si>
  <si>
    <t>Metric</t>
  </si>
  <si>
    <t>Value</t>
  </si>
  <si>
    <t>Proposed transportation cost – Kolhapur (₹)</t>
  </si>
  <si>
    <t>Gross reduction (%)</t>
  </si>
  <si>
    <t>Average saving per machine (₹)</t>
  </si>
  <si>
    <t>Machines modelled (3 routes)</t>
  </si>
  <si>
    <t>Vehicle loads modelled</t>
  </si>
  <si>
    <t>Implied hub cost at 5% net benefit (₹)</t>
  </si>
  <si>
    <t>Implied hub cost at 6% net benefit (₹)</t>
  </si>
  <si>
    <t>Route</t>
  </si>
  <si>
    <t>Gross saving (₹)</t>
  </si>
  <si>
    <t>Reduction (%)</t>
  </si>
  <si>
    <t>Assumptions, limitations and data notes</t>
  </si>
  <si>
    <t>Modelling basis</t>
  </si>
  <si>
    <t>80 machines per route (4 loads of 20) is the supplied modelling basis, not actual shipment volume. Totals of 240 machines and 12 loads are sums of that assumption.</t>
  </si>
  <si>
    <t>Cost distances</t>
  </si>
  <si>
    <t>Cost distances differ from the transit-time report (e.g. Goa–Kolhapur 250 km here vs 223 km there; Bengaluru 1,000/630 km vs 1,002/631 km). Supplied cost distances are used as instructed.</t>
  </si>
  <si>
    <t>Chennai inputs</t>
  </si>
  <si>
    <t>Primary cost per vehicle (₹48,600 / ₹38,000) are working figures pending confirmation. No rate or distance has been inferred. The Kolhapur figure equals the Bengaluru Bhiwandi vehicle cost; verify it is not a transcription error.</t>
  </si>
  <si>
    <t>Uniform secondary rates</t>
  </si>
  <si>
    <t>Secondary cost is a flat ₹3,000 (Bhiwandi) and ₹2,500 (Kolhapur) per machine on every route, giving a ₹500 saving per machine that accounts for 46.05% of total modelled savings. Destination-specific rates should be confirmed.</t>
  </si>
  <si>
    <t>Destination mix</t>
  </si>
  <si>
    <t>The model assumes all 80 machines per route are served from the Kolhapur catchment. Destinations in the Bhiwandi catchment (e.g. Pune, Nagpur) would not show this saving.</t>
  </si>
  <si>
    <t>Last-mile</t>
  </si>
  <si>
    <t>Unchanged at ₹2,500 per machine in both scenarios; contributes nothing to modelled savings.</t>
  </si>
  <si>
    <t>Hub costs</t>
  </si>
  <si>
    <t>Incremental Kolhapur hub costs (rent, utilities, labour, handling, security, administration, extra transfers) are unavailable and not estimated. Sensitivity values are illustrative.</t>
  </si>
  <si>
    <t>Rounding audit</t>
  </si>
  <si>
    <t>Combined reduction is 14.784%, shown as 14.78%. The brief's 14.79% is a rounding slip; rupee figures all reconcile.</t>
  </si>
  <si>
    <t>Not attributable</t>
  </si>
  <si>
    <t>Savings are not attributed to fuel efficiency, driver productivity, utilisation or procurement; no supporting data exist.</t>
  </si>
  <si>
    <t>Bhiwandi vs Proposed Kolhapur Mini-Hub | Modelled scenario analysis | Prepared by  Mahir Valani, 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</si>
</sst>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0"/>
    <numFmt numFmtId="165" formatCode="[&gt;=10000000]\₹##\,##\,##\,##0;[&gt;=100000]\₹##\,##\,##0;\₹##,##0"/>
    <numFmt numFmtId="166" formatCode="0.000"/>
  </numFmts>
  <fonts count="8" x14ac:knownFonts="1">
    <font>
      <sz val="11"/>
      <color theme="1"/>
      <name val="Calibri"/>
      <family val="2"/>
      <charset val="1"/>
    </font>
    <font>
      <b/>
      <sz val="14"/>
      <color rgb="FF1B2A41"/>
      <name val="Arial"/>
      <charset val="1"/>
    </font>
    <font>
      <i/>
      <sz val="9"/>
      <color rgb="FF555555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1"/>
        <bgColor rgb="FF003366"/>
      </patternFill>
    </fill>
    <fill>
      <patternFill patternType="solid">
        <fgColor rgb="FFEAF1F8"/>
        <bgColor rgb="FFF4F4F4"/>
      </patternFill>
    </fill>
    <fill>
      <patternFill patternType="solid">
        <fgColor rgb="FFF4F4F4"/>
        <bgColor rgb="FFEAF1F8"/>
      </patternFill>
    </fill>
    <fill>
      <patternFill patternType="solid">
        <fgColor rgb="FFFFF2CC"/>
        <bgColor rgb="FFF4F4F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3" fontId="6" fillId="3" borderId="1" xfId="0" applyNumberFormat="1" applyFont="1" applyFill="1" applyBorder="1"/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/>
    <xf numFmtId="164" fontId="6" fillId="3" borderId="1" xfId="0" applyNumberFormat="1" applyFont="1" applyFill="1" applyBorder="1"/>
    <xf numFmtId="165" fontId="6" fillId="3" borderId="1" xfId="0" applyNumberFormat="1" applyFont="1" applyFill="1" applyBorder="1"/>
    <xf numFmtId="165" fontId="3" fillId="4" borderId="1" xfId="0" applyNumberFormat="1" applyFont="1" applyFill="1" applyBorder="1"/>
    <xf numFmtId="3" fontId="3" fillId="4" borderId="1" xfId="0" applyNumberFormat="1" applyFont="1" applyFill="1" applyBorder="1"/>
    <xf numFmtId="3" fontId="5" fillId="4" borderId="1" xfId="0" applyNumberFormat="1" applyFont="1" applyFill="1" applyBorder="1"/>
    <xf numFmtId="165" fontId="5" fillId="4" borderId="1" xfId="0" applyNumberFormat="1" applyFont="1" applyFill="1" applyBorder="1"/>
    <xf numFmtId="10" fontId="3" fillId="4" borderId="1" xfId="0" applyNumberFormat="1" applyFont="1" applyFill="1" applyBorder="1"/>
    <xf numFmtId="10" fontId="5" fillId="4" borderId="1" xfId="0" applyNumberFormat="1" applyFont="1" applyFill="1" applyBorder="1"/>
    <xf numFmtId="10" fontId="6" fillId="3" borderId="1" xfId="0" applyNumberFormat="1" applyFont="1" applyFill="1" applyBorder="1"/>
    <xf numFmtId="166" fontId="3" fillId="4" borderId="1" xfId="0" applyNumberFormat="1" applyFont="1" applyFill="1" applyBorder="1"/>
    <xf numFmtId="0" fontId="7" fillId="0" borderId="0" xfId="0" applyFont="1"/>
    <xf numFmtId="2" fontId="3" fillId="4" borderId="1" xfId="0" applyNumberFormat="1" applyFont="1" applyFill="1" applyBorder="1"/>
    <xf numFmtId="165" fontId="6" fillId="5" borderId="1" xfId="0" applyNumberFormat="1" applyFont="1" applyFill="1" applyBorder="1"/>
    <xf numFmtId="10" fontId="6" fillId="5" borderId="1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FF2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B2A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Modelled gross saving by route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Dashboard!$B$16</c:f>
              <c:strCache>
                <c:ptCount val="1"/>
                <c:pt idx="0">
                  <c:v>Gross saving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Dashboard!$A$17:$A$19</c:f>
              <c:strCache>
                <c:ptCount val="3"/>
                <c:pt idx="0">
                  <c:v>Goa</c:v>
                </c:pt>
                <c:pt idx="1">
                  <c:v>Bengaluru</c:v>
                </c:pt>
                <c:pt idx="2">
                  <c:v>Chennai</c:v>
                </c:pt>
              </c:strCache>
            </c:strRef>
          </c:cat>
          <c:val>
            <c:numRef>
              <c:f>Dashboard!$B$17:$B$19</c:f>
              <c:numCache>
                <c:formatCode>[&gt;=10000000]\₹##\,##\,##\,##0;[&gt;=100000]\₹##\,##\,##0;\₹##,##0</c:formatCode>
                <c:ptCount val="3"/>
                <c:pt idx="0">
                  <c:v>92000</c:v>
                </c:pt>
                <c:pt idx="1">
                  <c:v>86160</c:v>
                </c:pt>
                <c:pt idx="2">
                  <c:v>82400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1-4875-B896-5BCA5D4C3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998104"/>
        <c:axId val="37292221"/>
      </c:barChart>
      <c:catAx>
        <c:axId val="469981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Source route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292221"/>
        <c:crosses val="autoZero"/>
        <c:auto val="1"/>
        <c:lblAlgn val="ctr"/>
        <c:lblOffset val="100"/>
        <c:noMultiLvlLbl val="0"/>
      </c:catAx>
      <c:valAx>
        <c:axId val="372922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&gt;=10000000]\₹##\,##\,##\,##0;[&gt;=100000]\₹##\,##\,##0;\₹#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9981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12</xdr:col>
      <xdr:colOff>399240</xdr:colOff>
      <xdr:row>13</xdr:row>
      <xdr:rowOff>184680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zoomScaleNormal="100" workbookViewId="0">
      <selection activeCell="A9" sqref="A9"/>
    </sheetView>
  </sheetViews>
  <sheetFormatPr defaultColWidth="8.6640625" defaultRowHeight="14.4" x14ac:dyDescent="0.3"/>
  <cols>
    <col min="1" max="1" width="140" customWidth="1"/>
  </cols>
  <sheetData>
    <row r="1" spans="1:1" ht="17.399999999999999" x14ac:dyDescent="0.3">
      <c r="A1" s="1" t="s">
        <v>0</v>
      </c>
    </row>
    <row r="2" spans="1:1" x14ac:dyDescent="0.3">
      <c r="A2" s="2" t="s">
        <v>133</v>
      </c>
    </row>
    <row r="4" spans="1:1" ht="33.75" customHeight="1" x14ac:dyDescent="0.3">
      <c r="A4" s="3" t="s">
        <v>1</v>
      </c>
    </row>
    <row r="5" spans="1:1" ht="33.75" customHeight="1" x14ac:dyDescent="0.3">
      <c r="A5" s="3" t="s">
        <v>2</v>
      </c>
    </row>
    <row r="6" spans="1:1" ht="33.75" customHeight="1" x14ac:dyDescent="0.3">
      <c r="A6" s="3" t="s">
        <v>3</v>
      </c>
    </row>
    <row r="7" spans="1:1" ht="33.75" customHeight="1" x14ac:dyDescent="0.3">
      <c r="A7" s="3" t="s">
        <v>4</v>
      </c>
    </row>
    <row r="8" spans="1:1" ht="33.75" customHeight="1" x14ac:dyDescent="0.3">
      <c r="A8" s="3" t="s">
        <v>5</v>
      </c>
    </row>
    <row r="9" spans="1:1" ht="33.75" customHeight="1" x14ac:dyDescent="0.3">
      <c r="A9" s="3" t="s">
        <v>6</v>
      </c>
    </row>
    <row r="10" spans="1:1" ht="33.75" customHeight="1" x14ac:dyDescent="0.3">
      <c r="A10" s="3" t="s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zoomScaleNormal="100" workbookViewId="0"/>
  </sheetViews>
  <sheetFormatPr defaultColWidth="8.6640625" defaultRowHeight="14.4" x14ac:dyDescent="0.3"/>
  <cols>
    <col min="1" max="1" width="50" customWidth="1"/>
    <col min="2" max="4" width="14" customWidth="1"/>
    <col min="5" max="5" width="90" customWidth="1"/>
  </cols>
  <sheetData>
    <row r="1" spans="1:5" ht="17.399999999999999" x14ac:dyDescent="0.3">
      <c r="A1" s="1" t="s">
        <v>8</v>
      </c>
    </row>
    <row r="2" spans="1:5" x14ac:dyDescent="0.3">
      <c r="A2" s="2" t="s">
        <v>9</v>
      </c>
    </row>
    <row r="3" spans="1:5" ht="31.5" customHeight="1" x14ac:dyDescent="0.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 x14ac:dyDescent="0.3">
      <c r="A4" s="5" t="s">
        <v>15</v>
      </c>
      <c r="B4" s="6">
        <v>80</v>
      </c>
      <c r="C4" s="6">
        <v>80</v>
      </c>
      <c r="D4" s="6">
        <v>80</v>
      </c>
      <c r="E4" s="7" t="s">
        <v>16</v>
      </c>
    </row>
    <row r="5" spans="1:5" x14ac:dyDescent="0.3">
      <c r="A5" s="5" t="s">
        <v>17</v>
      </c>
      <c r="B5" s="6">
        <v>20</v>
      </c>
      <c r="C5" s="8"/>
      <c r="D5" s="8"/>
      <c r="E5" s="7" t="s">
        <v>18</v>
      </c>
    </row>
    <row r="6" spans="1:5" x14ac:dyDescent="0.3">
      <c r="A6" s="5" t="s">
        <v>19</v>
      </c>
      <c r="B6" s="6">
        <v>600</v>
      </c>
      <c r="C6" s="6">
        <v>1000</v>
      </c>
      <c r="D6" s="6" t="s">
        <v>20</v>
      </c>
      <c r="E6" s="7" t="s">
        <v>21</v>
      </c>
    </row>
    <row r="7" spans="1:5" x14ac:dyDescent="0.3">
      <c r="A7" s="5" t="s">
        <v>22</v>
      </c>
      <c r="B7" s="9">
        <v>40</v>
      </c>
      <c r="C7" s="9">
        <v>38</v>
      </c>
      <c r="D7" s="6" t="s">
        <v>20</v>
      </c>
      <c r="E7" s="7"/>
    </row>
    <row r="8" spans="1:5" x14ac:dyDescent="0.3">
      <c r="A8" s="5" t="s">
        <v>23</v>
      </c>
      <c r="B8" s="6">
        <v>250</v>
      </c>
      <c r="C8" s="6">
        <v>630</v>
      </c>
      <c r="D8" s="6" t="s">
        <v>20</v>
      </c>
      <c r="E8" s="7" t="s">
        <v>24</v>
      </c>
    </row>
    <row r="9" spans="1:5" x14ac:dyDescent="0.3">
      <c r="A9" s="5" t="s">
        <v>25</v>
      </c>
      <c r="B9" s="9">
        <v>44</v>
      </c>
      <c r="C9" s="9">
        <v>42</v>
      </c>
      <c r="D9" s="6" t="s">
        <v>20</v>
      </c>
      <c r="E9" s="7"/>
    </row>
    <row r="10" spans="1:5" x14ac:dyDescent="0.3">
      <c r="A10" s="5" t="s">
        <v>26</v>
      </c>
      <c r="B10" s="10" t="s">
        <v>20</v>
      </c>
      <c r="C10" s="10" t="s">
        <v>20</v>
      </c>
      <c r="D10" s="10">
        <v>48600</v>
      </c>
      <c r="E10" s="7" t="s">
        <v>27</v>
      </c>
    </row>
    <row r="11" spans="1:5" x14ac:dyDescent="0.3">
      <c r="A11" s="5" t="s">
        <v>28</v>
      </c>
      <c r="B11" s="10" t="s">
        <v>20</v>
      </c>
      <c r="C11" s="10" t="s">
        <v>20</v>
      </c>
      <c r="D11" s="10">
        <v>38000</v>
      </c>
      <c r="E11" s="7" t="s">
        <v>29</v>
      </c>
    </row>
    <row r="12" spans="1:5" x14ac:dyDescent="0.3">
      <c r="A12" s="5" t="s">
        <v>30</v>
      </c>
      <c r="B12" s="10">
        <v>3000</v>
      </c>
      <c r="C12" s="10">
        <v>3000</v>
      </c>
      <c r="D12" s="10">
        <v>3000</v>
      </c>
      <c r="E12" s="7" t="s">
        <v>31</v>
      </c>
    </row>
    <row r="13" spans="1:5" x14ac:dyDescent="0.3">
      <c r="A13" s="5" t="s">
        <v>32</v>
      </c>
      <c r="B13" s="10">
        <v>2500</v>
      </c>
      <c r="C13" s="10">
        <v>2500</v>
      </c>
      <c r="D13" s="10">
        <v>2500</v>
      </c>
      <c r="E13" s="7" t="s">
        <v>31</v>
      </c>
    </row>
    <row r="14" spans="1:5" x14ac:dyDescent="0.3">
      <c r="A14" s="5" t="s">
        <v>33</v>
      </c>
      <c r="B14" s="10">
        <v>2500</v>
      </c>
      <c r="C14" s="10">
        <v>2500</v>
      </c>
      <c r="D14" s="10">
        <v>2500</v>
      </c>
      <c r="E14" s="7" t="s">
        <v>34</v>
      </c>
    </row>
    <row r="15" spans="1:5" x14ac:dyDescent="0.3">
      <c r="A15" s="5" t="s">
        <v>35</v>
      </c>
      <c r="B15" s="10">
        <v>2500</v>
      </c>
      <c r="C15" s="10">
        <v>2500</v>
      </c>
      <c r="D15" s="10">
        <v>2500</v>
      </c>
      <c r="E15" s="7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topLeftCell="A20" zoomScaleNormal="100" workbookViewId="0"/>
  </sheetViews>
  <sheetFormatPr defaultColWidth="8.6640625" defaultRowHeight="14.4" x14ac:dyDescent="0.3"/>
  <cols>
    <col min="1" max="1" width="50" customWidth="1"/>
    <col min="2" max="4" width="16" customWidth="1"/>
    <col min="5" max="5" width="18" customWidth="1"/>
  </cols>
  <sheetData>
    <row r="1" spans="1:5" ht="17.399999999999999" x14ac:dyDescent="0.3">
      <c r="A1" s="1" t="s">
        <v>37</v>
      </c>
    </row>
    <row r="2" spans="1:5" x14ac:dyDescent="0.3">
      <c r="A2" s="2" t="s">
        <v>38</v>
      </c>
    </row>
    <row r="3" spans="1:5" ht="31.5" customHeight="1" x14ac:dyDescent="0.3">
      <c r="A3" s="4" t="s">
        <v>39</v>
      </c>
      <c r="B3" s="4" t="s">
        <v>11</v>
      </c>
      <c r="C3" s="4" t="s">
        <v>12</v>
      </c>
      <c r="D3" s="4" t="s">
        <v>13</v>
      </c>
      <c r="E3" s="4" t="s">
        <v>40</v>
      </c>
    </row>
    <row r="4" spans="1:5" x14ac:dyDescent="0.3">
      <c r="A4" s="5" t="s">
        <v>41</v>
      </c>
      <c r="B4" s="11">
        <f>Inputs!B6*Inputs!B7</f>
        <v>24000</v>
      </c>
      <c r="C4" s="11">
        <f>Inputs!C6*Inputs!C7</f>
        <v>38000</v>
      </c>
      <c r="D4" s="11">
        <f>Inputs!D10</f>
        <v>48600</v>
      </c>
    </row>
    <row r="5" spans="1:5" x14ac:dyDescent="0.3">
      <c r="A5" s="5" t="s">
        <v>42</v>
      </c>
      <c r="B5" s="11">
        <f>Inputs!B8*Inputs!B9</f>
        <v>11000</v>
      </c>
      <c r="C5" s="11">
        <f>Inputs!C8*Inputs!C9</f>
        <v>26460</v>
      </c>
      <c r="D5" s="11">
        <f>Inputs!D11</f>
        <v>38000</v>
      </c>
    </row>
    <row r="6" spans="1:5" x14ac:dyDescent="0.3">
      <c r="A6" s="5" t="s">
        <v>43</v>
      </c>
      <c r="B6" s="11">
        <f>B4/Inputs!$B$5</f>
        <v>1200</v>
      </c>
      <c r="C6" s="11">
        <f>C4/Inputs!$B$5</f>
        <v>1900</v>
      </c>
      <c r="D6" s="11">
        <f>D4/Inputs!$B$5</f>
        <v>2430</v>
      </c>
    </row>
    <row r="7" spans="1:5" x14ac:dyDescent="0.3">
      <c r="A7" s="5" t="s">
        <v>44</v>
      </c>
      <c r="B7" s="11">
        <f>B5/Inputs!$B$5</f>
        <v>550</v>
      </c>
      <c r="C7" s="11">
        <f>C5/Inputs!$B$5</f>
        <v>1323</v>
      </c>
      <c r="D7" s="11">
        <f>D5/Inputs!$B$5</f>
        <v>1900</v>
      </c>
    </row>
    <row r="8" spans="1:5" x14ac:dyDescent="0.3">
      <c r="A8" s="5" t="s">
        <v>45</v>
      </c>
      <c r="B8" s="11">
        <f>Inputs!B12</f>
        <v>3000</v>
      </c>
      <c r="C8" s="11">
        <f>Inputs!C12</f>
        <v>3000</v>
      </c>
      <c r="D8" s="11">
        <f>Inputs!D12</f>
        <v>3000</v>
      </c>
    </row>
    <row r="9" spans="1:5" x14ac:dyDescent="0.3">
      <c r="A9" s="5" t="s">
        <v>46</v>
      </c>
      <c r="B9" s="11">
        <f>Inputs!B13</f>
        <v>2500</v>
      </c>
      <c r="C9" s="11">
        <f>Inputs!C13</f>
        <v>2500</v>
      </c>
      <c r="D9" s="11">
        <f>Inputs!D13</f>
        <v>2500</v>
      </c>
    </row>
    <row r="10" spans="1:5" x14ac:dyDescent="0.3">
      <c r="A10" s="5" t="s">
        <v>33</v>
      </c>
      <c r="B10" s="11">
        <f>Inputs!B14</f>
        <v>2500</v>
      </c>
      <c r="C10" s="11">
        <f>Inputs!C14</f>
        <v>2500</v>
      </c>
      <c r="D10" s="11">
        <f>Inputs!D14</f>
        <v>2500</v>
      </c>
    </row>
    <row r="11" spans="1:5" x14ac:dyDescent="0.3">
      <c r="A11" s="5" t="s">
        <v>35</v>
      </c>
      <c r="B11" s="11">
        <f>Inputs!B15</f>
        <v>2500</v>
      </c>
      <c r="C11" s="11">
        <f>Inputs!C15</f>
        <v>2500</v>
      </c>
      <c r="D11" s="11">
        <f>Inputs!D15</f>
        <v>2500</v>
      </c>
    </row>
    <row r="12" spans="1:5" x14ac:dyDescent="0.3">
      <c r="A12" s="5" t="s">
        <v>47</v>
      </c>
      <c r="B12" s="11">
        <f t="shared" ref="B12:D13" si="0">B6+B8+B10</f>
        <v>6700</v>
      </c>
      <c r="C12" s="11">
        <f t="shared" si="0"/>
        <v>7400</v>
      </c>
      <c r="D12" s="11">
        <f t="shared" si="0"/>
        <v>7930</v>
      </c>
      <c r="E12" s="8" t="s">
        <v>20</v>
      </c>
    </row>
    <row r="13" spans="1:5" x14ac:dyDescent="0.3">
      <c r="A13" s="5" t="s">
        <v>48</v>
      </c>
      <c r="B13" s="11">
        <f t="shared" si="0"/>
        <v>5550</v>
      </c>
      <c r="C13" s="11">
        <f t="shared" si="0"/>
        <v>6323</v>
      </c>
      <c r="D13" s="11">
        <f t="shared" si="0"/>
        <v>6900</v>
      </c>
      <c r="E13" s="8" t="s">
        <v>20</v>
      </c>
    </row>
    <row r="14" spans="1:5" x14ac:dyDescent="0.3">
      <c r="A14" s="5" t="s">
        <v>49</v>
      </c>
      <c r="B14" s="12">
        <f>Inputs!B4</f>
        <v>80</v>
      </c>
      <c r="C14" s="12">
        <f>Inputs!C4</f>
        <v>80</v>
      </c>
      <c r="D14" s="12">
        <f>Inputs!D4</f>
        <v>80</v>
      </c>
      <c r="E14" s="13">
        <f>SUM(B14:D14)</f>
        <v>240</v>
      </c>
    </row>
    <row r="15" spans="1:5" x14ac:dyDescent="0.3">
      <c r="A15" s="5" t="s">
        <v>50</v>
      </c>
      <c r="B15" s="12">
        <f>B14/Inputs!$B$5</f>
        <v>4</v>
      </c>
      <c r="C15" s="12">
        <f>C14/Inputs!$B$5</f>
        <v>4</v>
      </c>
      <c r="D15" s="12">
        <f>D14/Inputs!$B$5</f>
        <v>4</v>
      </c>
      <c r="E15" s="13">
        <f>SUM(B15:D15)</f>
        <v>12</v>
      </c>
    </row>
    <row r="16" spans="1:5" x14ac:dyDescent="0.3">
      <c r="A16" s="5" t="s">
        <v>51</v>
      </c>
      <c r="B16" s="11">
        <f>B12*B14</f>
        <v>536000</v>
      </c>
      <c r="C16" s="11">
        <f>C12*C14</f>
        <v>592000</v>
      </c>
      <c r="D16" s="11">
        <f>D12*D14</f>
        <v>634400</v>
      </c>
      <c r="E16" s="14">
        <f>SUM(B16:D16)</f>
        <v>1762400</v>
      </c>
    </row>
    <row r="17" spans="1:5" x14ac:dyDescent="0.3">
      <c r="A17" s="5" t="s">
        <v>52</v>
      </c>
      <c r="B17" s="11">
        <f>B13*B14</f>
        <v>444000</v>
      </c>
      <c r="C17" s="11">
        <f>C13*C14</f>
        <v>505840</v>
      </c>
      <c r="D17" s="11">
        <f>D13*D14</f>
        <v>552000</v>
      </c>
      <c r="E17" s="14">
        <f>SUM(B17:D17)</f>
        <v>1501840</v>
      </c>
    </row>
    <row r="18" spans="1:5" x14ac:dyDescent="0.3">
      <c r="A18" s="5" t="s">
        <v>53</v>
      </c>
      <c r="B18" s="11">
        <f>B16-B17</f>
        <v>92000</v>
      </c>
      <c r="C18" s="11">
        <f>C16-C17</f>
        <v>86160</v>
      </c>
      <c r="D18" s="11">
        <f>D16-D17</f>
        <v>82400</v>
      </c>
      <c r="E18" s="14">
        <f>SUM(B18:D18)</f>
        <v>260560</v>
      </c>
    </row>
    <row r="19" spans="1:5" x14ac:dyDescent="0.3">
      <c r="A19" s="5" t="s">
        <v>54</v>
      </c>
      <c r="B19" s="15">
        <f>B18/B16</f>
        <v>0.17164179104477612</v>
      </c>
      <c r="C19" s="15">
        <f>C18/C16</f>
        <v>0.14554054054054055</v>
      </c>
      <c r="D19" s="15">
        <f>D18/D16</f>
        <v>0.12988650693568726</v>
      </c>
      <c r="E19" s="16">
        <f>E18/E16</f>
        <v>0.14784384929641398</v>
      </c>
    </row>
    <row r="20" spans="1:5" x14ac:dyDescent="0.3">
      <c r="A20" s="5" t="s">
        <v>55</v>
      </c>
      <c r="B20" s="11">
        <f>B12-B13</f>
        <v>1150</v>
      </c>
      <c r="C20" s="11">
        <f>C12-C13</f>
        <v>1077</v>
      </c>
      <c r="D20" s="11">
        <f>D12-D13</f>
        <v>1030</v>
      </c>
      <c r="E20" s="14">
        <f>E18/E14</f>
        <v>1085.6666666666667</v>
      </c>
    </row>
    <row r="21" spans="1:5" x14ac:dyDescent="0.3">
      <c r="A21" s="5" t="s">
        <v>56</v>
      </c>
      <c r="B21" s="11">
        <f>B20*Inputs!$B$5</f>
        <v>23000</v>
      </c>
      <c r="C21" s="11">
        <f>C20*Inputs!$B$5</f>
        <v>21540</v>
      </c>
      <c r="D21" s="11">
        <f>D20*Inputs!$B$5</f>
        <v>20600</v>
      </c>
      <c r="E21" s="8" t="s">
        <v>20</v>
      </c>
    </row>
    <row r="24" spans="1:5" ht="31.5" customHeight="1" x14ac:dyDescent="0.3">
      <c r="A24" s="4" t="s">
        <v>57</v>
      </c>
      <c r="B24" s="4" t="s">
        <v>11</v>
      </c>
      <c r="C24" s="4" t="s">
        <v>12</v>
      </c>
      <c r="D24" s="4" t="s">
        <v>13</v>
      </c>
      <c r="E24" s="4" t="s">
        <v>58</v>
      </c>
    </row>
    <row r="25" spans="1:5" x14ac:dyDescent="0.3">
      <c r="A25" s="5" t="s">
        <v>59</v>
      </c>
      <c r="B25" s="10">
        <v>536000</v>
      </c>
      <c r="C25" s="10">
        <v>592000</v>
      </c>
      <c r="D25" s="10">
        <v>634400</v>
      </c>
      <c r="E25" s="10">
        <v>1762400</v>
      </c>
    </row>
    <row r="26" spans="1:5" x14ac:dyDescent="0.3">
      <c r="A26" s="5" t="s">
        <v>60</v>
      </c>
      <c r="B26" s="10">
        <v>444000</v>
      </c>
      <c r="C26" s="10">
        <v>505840</v>
      </c>
      <c r="D26" s="10">
        <v>552000</v>
      </c>
      <c r="E26" s="10">
        <v>1501840</v>
      </c>
    </row>
    <row r="27" spans="1:5" x14ac:dyDescent="0.3">
      <c r="A27" s="5" t="s">
        <v>61</v>
      </c>
      <c r="B27" s="10">
        <v>92000</v>
      </c>
      <c r="C27" s="10">
        <v>86160</v>
      </c>
      <c r="D27" s="10">
        <v>82400</v>
      </c>
      <c r="E27" s="10">
        <v>260560</v>
      </c>
    </row>
    <row r="28" spans="1:5" x14ac:dyDescent="0.3">
      <c r="A28" s="5" t="s">
        <v>62</v>
      </c>
      <c r="B28" s="11">
        <f t="shared" ref="B28:E30" si="1">B16-B25</f>
        <v>0</v>
      </c>
      <c r="C28" s="11">
        <f t="shared" si="1"/>
        <v>0</v>
      </c>
      <c r="D28" s="11">
        <f t="shared" si="1"/>
        <v>0</v>
      </c>
      <c r="E28" s="11">
        <f t="shared" si="1"/>
        <v>0</v>
      </c>
    </row>
    <row r="29" spans="1:5" x14ac:dyDescent="0.3">
      <c r="A29" s="5" t="s">
        <v>63</v>
      </c>
      <c r="B29" s="11">
        <f t="shared" si="1"/>
        <v>0</v>
      </c>
      <c r="C29" s="11">
        <f t="shared" si="1"/>
        <v>0</v>
      </c>
      <c r="D29" s="11">
        <f t="shared" si="1"/>
        <v>0</v>
      </c>
      <c r="E29" s="11">
        <f t="shared" si="1"/>
        <v>0</v>
      </c>
    </row>
    <row r="30" spans="1:5" x14ac:dyDescent="0.3">
      <c r="A30" s="5" t="s">
        <v>64</v>
      </c>
      <c r="B30" s="11">
        <f t="shared" si="1"/>
        <v>0</v>
      </c>
      <c r="C30" s="11">
        <f t="shared" si="1"/>
        <v>0</v>
      </c>
      <c r="D30" s="11">
        <f t="shared" si="1"/>
        <v>0</v>
      </c>
      <c r="E30" s="11">
        <f t="shared" si="1"/>
        <v>0</v>
      </c>
    </row>
    <row r="31" spans="1:5" x14ac:dyDescent="0.3">
      <c r="A31" s="5" t="s">
        <v>65</v>
      </c>
      <c r="E31" s="17">
        <v>0.1479</v>
      </c>
    </row>
    <row r="32" spans="1:5" x14ac:dyDescent="0.3">
      <c r="A32" s="5" t="s">
        <v>66</v>
      </c>
      <c r="E32" s="18">
        <f>(E19-E31)*100</f>
        <v>-5.6150703586027584E-3</v>
      </c>
    </row>
    <row r="34" spans="1:1" x14ac:dyDescent="0.3">
      <c r="A34" s="19" t="s">
        <v>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zoomScaleNormal="100" workbookViewId="0"/>
  </sheetViews>
  <sheetFormatPr defaultColWidth="8.6640625" defaultRowHeight="14.4" x14ac:dyDescent="0.3"/>
  <cols>
    <col min="1" max="1" width="58" customWidth="1"/>
    <col min="2" max="4" width="16" customWidth="1"/>
    <col min="5" max="5" width="70" customWidth="1"/>
  </cols>
  <sheetData>
    <row r="1" spans="1:5" ht="17.399999999999999" x14ac:dyDescent="0.3">
      <c r="A1" s="1" t="s">
        <v>68</v>
      </c>
    </row>
    <row r="2" spans="1:5" x14ac:dyDescent="0.3">
      <c r="A2" s="2" t="s">
        <v>69</v>
      </c>
    </row>
    <row r="3" spans="1:5" ht="31.5" customHeight="1" x14ac:dyDescent="0.3">
      <c r="A3" s="4" t="s">
        <v>39</v>
      </c>
      <c r="B3" s="4" t="s">
        <v>11</v>
      </c>
      <c r="C3" s="4" t="s">
        <v>12</v>
      </c>
      <c r="D3" s="4" t="s">
        <v>13</v>
      </c>
      <c r="E3" s="4" t="s">
        <v>58</v>
      </c>
    </row>
    <row r="4" spans="1:5" x14ac:dyDescent="0.3">
      <c r="A4" s="5" t="s">
        <v>70</v>
      </c>
      <c r="B4" s="11">
        <f>Route_Model!B6-Route_Model!B7</f>
        <v>650</v>
      </c>
      <c r="C4" s="11">
        <f>Route_Model!C6-Route_Model!C7</f>
        <v>577</v>
      </c>
      <c r="D4" s="11">
        <f>Route_Model!D6-Route_Model!D7</f>
        <v>530</v>
      </c>
      <c r="E4" s="8" t="s">
        <v>20</v>
      </c>
    </row>
    <row r="5" spans="1:5" x14ac:dyDescent="0.3">
      <c r="A5" s="5" t="s">
        <v>71</v>
      </c>
      <c r="B5" s="11">
        <f>Route_Model!B8-Route_Model!B9</f>
        <v>500</v>
      </c>
      <c r="C5" s="11">
        <f>Route_Model!C8-Route_Model!C9</f>
        <v>500</v>
      </c>
      <c r="D5" s="11">
        <f>Route_Model!D8-Route_Model!D9</f>
        <v>500</v>
      </c>
      <c r="E5" s="8" t="s">
        <v>20</v>
      </c>
    </row>
    <row r="6" spans="1:5" x14ac:dyDescent="0.3">
      <c r="A6" s="5" t="s">
        <v>72</v>
      </c>
      <c r="B6" s="11">
        <f>Route_Model!B10-Route_Model!B11</f>
        <v>0</v>
      </c>
      <c r="C6" s="11">
        <f>Route_Model!C10-Route_Model!C11</f>
        <v>0</v>
      </c>
      <c r="D6" s="11">
        <f>Route_Model!D10-Route_Model!D11</f>
        <v>0</v>
      </c>
      <c r="E6" s="8" t="s">
        <v>20</v>
      </c>
    </row>
    <row r="7" spans="1:5" x14ac:dyDescent="0.3">
      <c r="A7" s="5" t="s">
        <v>73</v>
      </c>
      <c r="B7" s="11">
        <f>B4+B5+B6</f>
        <v>1150</v>
      </c>
      <c r="C7" s="11">
        <f>C4+C5+C6</f>
        <v>1077</v>
      </c>
      <c r="D7" s="11">
        <f>D4+D5+D6</f>
        <v>1030</v>
      </c>
      <c r="E7" s="11">
        <f>E11/Route_Model!E14</f>
        <v>1085.6666666666667</v>
      </c>
    </row>
    <row r="8" spans="1:5" x14ac:dyDescent="0.3">
      <c r="A8" s="5" t="s">
        <v>74</v>
      </c>
      <c r="B8" s="11">
        <f>B4*Route_Model!B14</f>
        <v>52000</v>
      </c>
      <c r="C8" s="11">
        <f>C4*Route_Model!C14</f>
        <v>46160</v>
      </c>
      <c r="D8" s="11">
        <f>D4*Route_Model!D14</f>
        <v>42400</v>
      </c>
      <c r="E8" s="14">
        <f>SUM(B8:D8)</f>
        <v>140560</v>
      </c>
    </row>
    <row r="9" spans="1:5" x14ac:dyDescent="0.3">
      <c r="A9" s="5" t="s">
        <v>75</v>
      </c>
      <c r="B9" s="11">
        <f>B5*Route_Model!B14</f>
        <v>40000</v>
      </c>
      <c r="C9" s="11">
        <f>C5*Route_Model!C14</f>
        <v>40000</v>
      </c>
      <c r="D9" s="11">
        <f>D5*Route_Model!D14</f>
        <v>40000</v>
      </c>
      <c r="E9" s="14">
        <f>SUM(B9:D9)</f>
        <v>120000</v>
      </c>
    </row>
    <row r="10" spans="1:5" x14ac:dyDescent="0.3">
      <c r="A10" s="5" t="s">
        <v>76</v>
      </c>
      <c r="B10" s="11">
        <f>B6*Route_Model!B14</f>
        <v>0</v>
      </c>
      <c r="C10" s="11">
        <f>C6*Route_Model!C14</f>
        <v>0</v>
      </c>
      <c r="D10" s="11">
        <f>D6*Route_Model!D14</f>
        <v>0</v>
      </c>
      <c r="E10" s="14">
        <f>SUM(B10:D10)</f>
        <v>0</v>
      </c>
    </row>
    <row r="11" spans="1:5" x14ac:dyDescent="0.3">
      <c r="A11" s="5" t="s">
        <v>77</v>
      </c>
      <c r="B11" s="11">
        <f>B8+B9+B10</f>
        <v>92000</v>
      </c>
      <c r="C11" s="11">
        <f>C8+C9+C10</f>
        <v>86160</v>
      </c>
      <c r="D11" s="11">
        <f>D8+D9+D10</f>
        <v>82400</v>
      </c>
      <c r="E11" s="14">
        <f>SUM(B11:D11)</f>
        <v>260560</v>
      </c>
    </row>
    <row r="12" spans="1:5" x14ac:dyDescent="0.3">
      <c r="A12" s="5" t="s">
        <v>78</v>
      </c>
      <c r="B12" s="15">
        <f>B8/B11</f>
        <v>0.56521739130434778</v>
      </c>
      <c r="C12" s="15">
        <f>C8/C11</f>
        <v>0.53574744661095641</v>
      </c>
      <c r="D12" s="15">
        <f>D8/D11</f>
        <v>0.5145631067961165</v>
      </c>
      <c r="E12" s="15">
        <f>E8/E11</f>
        <v>0.53945348480196498</v>
      </c>
    </row>
    <row r="13" spans="1:5" x14ac:dyDescent="0.3">
      <c r="A13" s="5" t="s">
        <v>79</v>
      </c>
      <c r="B13" s="15">
        <f>B9/B11</f>
        <v>0.43478260869565216</v>
      </c>
      <c r="C13" s="15">
        <f>C9/C11</f>
        <v>0.46425255338904364</v>
      </c>
      <c r="D13" s="15">
        <f>D9/D11</f>
        <v>0.4854368932038835</v>
      </c>
      <c r="E13" s="15">
        <f>E9/E11</f>
        <v>0.46054651519803502</v>
      </c>
    </row>
    <row r="14" spans="1:5" x14ac:dyDescent="0.3">
      <c r="A14" s="5" t="s">
        <v>80</v>
      </c>
      <c r="B14" s="15">
        <f>B10/B11</f>
        <v>0</v>
      </c>
      <c r="C14" s="15">
        <f>C10/C11</f>
        <v>0</v>
      </c>
      <c r="D14" s="15">
        <f>D10/D11</f>
        <v>0</v>
      </c>
      <c r="E14" s="15">
        <f>E10/E11</f>
        <v>0</v>
      </c>
    </row>
    <row r="15" spans="1:5" x14ac:dyDescent="0.3">
      <c r="A15" s="5" t="s">
        <v>81</v>
      </c>
      <c r="E15" s="11">
        <f>E11-Route_Model!E18</f>
        <v>0</v>
      </c>
    </row>
    <row r="17" spans="1:5" ht="31.5" customHeight="1" x14ac:dyDescent="0.3">
      <c r="A17" s="4" t="s">
        <v>82</v>
      </c>
      <c r="B17" s="4" t="s">
        <v>11</v>
      </c>
      <c r="C17" s="4" t="s">
        <v>12</v>
      </c>
      <c r="D17" s="4" t="s">
        <v>13</v>
      </c>
      <c r="E17" s="4" t="s">
        <v>14</v>
      </c>
    </row>
    <row r="18" spans="1:5" x14ac:dyDescent="0.3">
      <c r="A18" s="5" t="s">
        <v>83</v>
      </c>
      <c r="B18" s="20">
        <f>Route_Model!B4/Inputs!B8</f>
        <v>96</v>
      </c>
      <c r="C18" s="20">
        <f>Route_Model!C4/Inputs!C8</f>
        <v>60.317460317460316</v>
      </c>
      <c r="D18" s="8" t="s">
        <v>20</v>
      </c>
      <c r="E18" s="8" t="s">
        <v>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zoomScaleNormal="100" workbookViewId="0"/>
  </sheetViews>
  <sheetFormatPr defaultColWidth="8.6640625" defaultRowHeight="14.4" x14ac:dyDescent="0.3"/>
  <cols>
    <col min="1" max="1" width="50" customWidth="1"/>
    <col min="2" max="2" width="30" customWidth="1"/>
    <col min="3" max="4" width="32" customWidth="1"/>
  </cols>
  <sheetData>
    <row r="1" spans="1:4" ht="17.399999999999999" x14ac:dyDescent="0.3">
      <c r="A1" s="1" t="s">
        <v>85</v>
      </c>
    </row>
    <row r="2" spans="1:4" x14ac:dyDescent="0.3">
      <c r="A2" s="2" t="s">
        <v>86</v>
      </c>
    </row>
    <row r="3" spans="1:4" x14ac:dyDescent="0.3">
      <c r="A3" s="5" t="s">
        <v>87</v>
      </c>
      <c r="B3" s="11">
        <f>Route_Model!E16</f>
        <v>1762400</v>
      </c>
    </row>
    <row r="4" spans="1:4" x14ac:dyDescent="0.3">
      <c r="A4" s="5" t="s">
        <v>88</v>
      </c>
      <c r="B4" s="11">
        <f>Route_Model!E18</f>
        <v>260560</v>
      </c>
    </row>
    <row r="5" spans="1:4" x14ac:dyDescent="0.3">
      <c r="A5" s="5" t="s">
        <v>89</v>
      </c>
      <c r="B5" s="11">
        <f>B4</f>
        <v>260560</v>
      </c>
    </row>
    <row r="7" spans="1:4" ht="31.5" customHeight="1" x14ac:dyDescent="0.3">
      <c r="A7" s="4" t="s">
        <v>90</v>
      </c>
      <c r="B7" s="4" t="s">
        <v>91</v>
      </c>
      <c r="C7" s="4" t="s">
        <v>92</v>
      </c>
      <c r="D7" s="4" t="s">
        <v>93</v>
      </c>
    </row>
    <row r="8" spans="1:4" x14ac:dyDescent="0.3">
      <c r="A8" s="21">
        <v>0</v>
      </c>
      <c r="B8" s="11">
        <f t="shared" ref="B8:B14" si="0">$B$4-A8</f>
        <v>260560</v>
      </c>
      <c r="C8" s="15">
        <f t="shared" ref="C8:C14" si="1">B8/$B$3</f>
        <v>0.14784384929641398</v>
      </c>
      <c r="D8" s="8" t="str">
        <f t="shared" ref="D8:D14" si="2">IF(B8&gt;0,"Positive",IF(B8=0,"Break-even","Negative"))</f>
        <v>Positive</v>
      </c>
    </row>
    <row r="9" spans="1:4" x14ac:dyDescent="0.3">
      <c r="A9" s="21">
        <v>50000</v>
      </c>
      <c r="B9" s="11">
        <f t="shared" si="0"/>
        <v>210560</v>
      </c>
      <c r="C9" s="15">
        <f t="shared" si="1"/>
        <v>0.1194734453018611</v>
      </c>
      <c r="D9" s="8" t="str">
        <f t="shared" si="2"/>
        <v>Positive</v>
      </c>
    </row>
    <row r="10" spans="1:4" x14ac:dyDescent="0.3">
      <c r="A10" s="21">
        <v>100000</v>
      </c>
      <c r="B10" s="11">
        <f t="shared" si="0"/>
        <v>160560</v>
      </c>
      <c r="C10" s="15">
        <f t="shared" si="1"/>
        <v>9.1103041307308216E-2</v>
      </c>
      <c r="D10" s="8" t="str">
        <f t="shared" si="2"/>
        <v>Positive</v>
      </c>
    </row>
    <row r="11" spans="1:4" x14ac:dyDescent="0.3">
      <c r="A11" s="21">
        <v>150000</v>
      </c>
      <c r="B11" s="11">
        <f t="shared" si="0"/>
        <v>110560</v>
      </c>
      <c r="C11" s="15">
        <f t="shared" si="1"/>
        <v>6.2732637312755329E-2</v>
      </c>
      <c r="D11" s="8" t="str">
        <f t="shared" si="2"/>
        <v>Positive</v>
      </c>
    </row>
    <row r="12" spans="1:4" x14ac:dyDescent="0.3">
      <c r="A12" s="21">
        <v>200000</v>
      </c>
      <c r="B12" s="11">
        <f t="shared" si="0"/>
        <v>60560</v>
      </c>
      <c r="C12" s="15">
        <f t="shared" si="1"/>
        <v>3.4362233318202449E-2</v>
      </c>
      <c r="D12" s="8" t="str">
        <f t="shared" si="2"/>
        <v>Positive</v>
      </c>
    </row>
    <row r="13" spans="1:4" x14ac:dyDescent="0.3">
      <c r="A13" s="21">
        <v>260560</v>
      </c>
      <c r="B13" s="11">
        <f t="shared" si="0"/>
        <v>0</v>
      </c>
      <c r="C13" s="15">
        <f t="shared" si="1"/>
        <v>0</v>
      </c>
      <c r="D13" s="8" t="str">
        <f t="shared" si="2"/>
        <v>Break-even</v>
      </c>
    </row>
    <row r="14" spans="1:4" x14ac:dyDescent="0.3">
      <c r="A14" s="21">
        <v>300000</v>
      </c>
      <c r="B14" s="11">
        <f t="shared" si="0"/>
        <v>-39440</v>
      </c>
      <c r="C14" s="15">
        <f t="shared" si="1"/>
        <v>-2.2378574670903314E-2</v>
      </c>
      <c r="D14" s="8" t="str">
        <f t="shared" si="2"/>
        <v>Negative</v>
      </c>
    </row>
    <row r="17" spans="1:4" ht="31.5" customHeight="1" x14ac:dyDescent="0.3">
      <c r="A17" s="4" t="s">
        <v>94</v>
      </c>
      <c r="B17" s="4" t="s">
        <v>95</v>
      </c>
      <c r="C17" s="4" t="s">
        <v>91</v>
      </c>
      <c r="D17" s="4" t="s">
        <v>96</v>
      </c>
    </row>
    <row r="18" spans="1:4" x14ac:dyDescent="0.3">
      <c r="A18" s="5" t="s">
        <v>97</v>
      </c>
      <c r="B18" s="22">
        <v>0.05</v>
      </c>
      <c r="C18" s="11">
        <f>$B$3*B18</f>
        <v>88120</v>
      </c>
      <c r="D18" s="11">
        <f>$B$4-C18</f>
        <v>172440</v>
      </c>
    </row>
    <row r="19" spans="1:4" x14ac:dyDescent="0.3">
      <c r="A19" s="5" t="s">
        <v>98</v>
      </c>
      <c r="B19" s="22">
        <v>0.06</v>
      </c>
      <c r="C19" s="11">
        <f>$B$3*B19</f>
        <v>105744</v>
      </c>
      <c r="D19" s="11">
        <f>$B$4-C19</f>
        <v>154816</v>
      </c>
    </row>
    <row r="21" spans="1:4" x14ac:dyDescent="0.3">
      <c r="A21" s="19" t="s">
        <v>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topLeftCell="A5" zoomScaleNormal="100" workbookViewId="0"/>
  </sheetViews>
  <sheetFormatPr defaultColWidth="8.6640625" defaultRowHeight="14.4" x14ac:dyDescent="0.3"/>
  <cols>
    <col min="1" max="1" width="46" customWidth="1"/>
    <col min="2" max="2" width="20" customWidth="1"/>
    <col min="3" max="3" width="16" customWidth="1"/>
    <col min="4" max="4" width="22" customWidth="1"/>
  </cols>
  <sheetData>
    <row r="1" spans="1:4" ht="17.399999999999999" x14ac:dyDescent="0.3">
      <c r="A1" s="1" t="s">
        <v>100</v>
      </c>
    </row>
    <row r="2" spans="1:4" x14ac:dyDescent="0.3">
      <c r="A2" s="2" t="s">
        <v>101</v>
      </c>
    </row>
    <row r="3" spans="1:4" ht="31.5" customHeight="1" x14ac:dyDescent="0.3">
      <c r="A3" s="4" t="s">
        <v>102</v>
      </c>
      <c r="B3" s="4" t="s">
        <v>103</v>
      </c>
    </row>
    <row r="4" spans="1:4" x14ac:dyDescent="0.3">
      <c r="A4" s="5" t="s">
        <v>87</v>
      </c>
      <c r="B4" s="11">
        <f>Route_Model!E16</f>
        <v>1762400</v>
      </c>
    </row>
    <row r="5" spans="1:4" x14ac:dyDescent="0.3">
      <c r="A5" s="5" t="s">
        <v>104</v>
      </c>
      <c r="B5" s="11">
        <f>Route_Model!E17</f>
        <v>1501840</v>
      </c>
    </row>
    <row r="6" spans="1:4" x14ac:dyDescent="0.3">
      <c r="A6" s="5" t="s">
        <v>53</v>
      </c>
      <c r="B6" s="11">
        <f>Route_Model!E18</f>
        <v>260560</v>
      </c>
    </row>
    <row r="7" spans="1:4" x14ac:dyDescent="0.3">
      <c r="A7" s="5" t="s">
        <v>105</v>
      </c>
      <c r="B7" s="15">
        <f>Route_Model!E19</f>
        <v>0.14784384929641398</v>
      </c>
    </row>
    <row r="8" spans="1:4" x14ac:dyDescent="0.3">
      <c r="A8" s="5" t="s">
        <v>106</v>
      </c>
      <c r="B8" s="11">
        <f>Route_Model!E20</f>
        <v>1085.6666666666667</v>
      </c>
    </row>
    <row r="9" spans="1:4" x14ac:dyDescent="0.3">
      <c r="A9" s="5" t="s">
        <v>107</v>
      </c>
      <c r="B9" s="12">
        <f>Route_Model!E14</f>
        <v>240</v>
      </c>
    </row>
    <row r="10" spans="1:4" x14ac:dyDescent="0.3">
      <c r="A10" s="5" t="s">
        <v>108</v>
      </c>
      <c r="B10" s="12">
        <f>Route_Model!E15</f>
        <v>12</v>
      </c>
    </row>
    <row r="11" spans="1:4" x14ac:dyDescent="0.3">
      <c r="A11" s="5" t="s">
        <v>89</v>
      </c>
      <c r="B11" s="11">
        <f>Hub_Sensitivity!B5</f>
        <v>260560</v>
      </c>
    </row>
    <row r="12" spans="1:4" x14ac:dyDescent="0.3">
      <c r="A12" s="5" t="s">
        <v>109</v>
      </c>
      <c r="B12" s="11">
        <f>Hub_Sensitivity!D18</f>
        <v>172440</v>
      </c>
    </row>
    <row r="13" spans="1:4" x14ac:dyDescent="0.3">
      <c r="A13" s="5" t="s">
        <v>110</v>
      </c>
      <c r="B13" s="11">
        <f>Hub_Sensitivity!D19</f>
        <v>154816</v>
      </c>
    </row>
    <row r="16" spans="1:4" ht="31.5" customHeight="1" x14ac:dyDescent="0.3">
      <c r="A16" s="4" t="s">
        <v>111</v>
      </c>
      <c r="B16" s="4" t="s">
        <v>112</v>
      </c>
      <c r="C16" s="4" t="s">
        <v>113</v>
      </c>
      <c r="D16" s="4" t="s">
        <v>55</v>
      </c>
    </row>
    <row r="17" spans="1:4" x14ac:dyDescent="0.3">
      <c r="A17" s="5" t="s">
        <v>11</v>
      </c>
      <c r="B17" s="11">
        <f>Route_Model!B18</f>
        <v>92000</v>
      </c>
      <c r="C17" s="15">
        <f>Route_Model!B19</f>
        <v>0.17164179104477612</v>
      </c>
      <c r="D17" s="11">
        <f>Route_Model!B20</f>
        <v>1150</v>
      </c>
    </row>
    <row r="18" spans="1:4" x14ac:dyDescent="0.3">
      <c r="A18" s="5" t="s">
        <v>12</v>
      </c>
      <c r="B18" s="11">
        <f>Route_Model!C18</f>
        <v>86160</v>
      </c>
      <c r="C18" s="15">
        <f>Route_Model!C19</f>
        <v>0.14554054054054055</v>
      </c>
      <c r="D18" s="11">
        <f>Route_Model!C20</f>
        <v>1077</v>
      </c>
    </row>
    <row r="19" spans="1:4" x14ac:dyDescent="0.3">
      <c r="A19" s="5" t="s">
        <v>13</v>
      </c>
      <c r="B19" s="11">
        <f>Route_Model!D18</f>
        <v>82400</v>
      </c>
      <c r="C19" s="15">
        <f>Route_Model!D19</f>
        <v>0.12988650693568726</v>
      </c>
      <c r="D19" s="11">
        <f>Route_Model!D20</f>
        <v>1030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tabSelected="1" topLeftCell="A7" zoomScaleNormal="100" workbookViewId="0"/>
  </sheetViews>
  <sheetFormatPr defaultColWidth="8.6640625" defaultRowHeight="14.4" x14ac:dyDescent="0.3"/>
  <cols>
    <col min="1" max="1" width="26" customWidth="1"/>
    <col min="2" max="2" width="130" customWidth="1"/>
  </cols>
  <sheetData>
    <row r="1" spans="1:2" ht="17.399999999999999" x14ac:dyDescent="0.3">
      <c r="A1" s="1" t="s">
        <v>114</v>
      </c>
    </row>
    <row r="2" spans="1:2" x14ac:dyDescent="0.3">
      <c r="A2" s="2"/>
    </row>
    <row r="3" spans="1:2" ht="45.75" customHeight="1" x14ac:dyDescent="0.3">
      <c r="A3" s="23" t="s">
        <v>115</v>
      </c>
      <c r="B3" s="3" t="s">
        <v>116</v>
      </c>
    </row>
    <row r="4" spans="1:2" ht="45.75" customHeight="1" x14ac:dyDescent="0.3">
      <c r="A4" s="23" t="s">
        <v>117</v>
      </c>
      <c r="B4" s="3" t="s">
        <v>118</v>
      </c>
    </row>
    <row r="5" spans="1:2" ht="45.75" customHeight="1" x14ac:dyDescent="0.3">
      <c r="A5" s="23" t="s">
        <v>119</v>
      </c>
      <c r="B5" s="3" t="s">
        <v>120</v>
      </c>
    </row>
    <row r="6" spans="1:2" ht="45.75" customHeight="1" x14ac:dyDescent="0.3">
      <c r="A6" s="23" t="s">
        <v>121</v>
      </c>
      <c r="B6" s="3" t="s">
        <v>122</v>
      </c>
    </row>
    <row r="7" spans="1:2" ht="45.75" customHeight="1" x14ac:dyDescent="0.3">
      <c r="A7" s="23" t="s">
        <v>123</v>
      </c>
      <c r="B7" s="3" t="s">
        <v>124</v>
      </c>
    </row>
    <row r="8" spans="1:2" ht="45.75" customHeight="1" x14ac:dyDescent="0.3">
      <c r="A8" s="23" t="s">
        <v>125</v>
      </c>
      <c r="B8" s="3" t="s">
        <v>126</v>
      </c>
    </row>
    <row r="9" spans="1:2" ht="45.75" customHeight="1" x14ac:dyDescent="0.3">
      <c r="A9" s="23" t="s">
        <v>127</v>
      </c>
      <c r="B9" s="3" t="s">
        <v>128</v>
      </c>
    </row>
    <row r="10" spans="1:2" ht="45.75" customHeight="1" x14ac:dyDescent="0.3">
      <c r="A10" s="23" t="s">
        <v>129</v>
      </c>
      <c r="B10" s="3" t="s">
        <v>130</v>
      </c>
    </row>
    <row r="11" spans="1:2" ht="45.75" customHeight="1" x14ac:dyDescent="0.3">
      <c r="A11" s="23" t="s">
        <v>131</v>
      </c>
      <c r="B11" s="3" t="s">
        <v>132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Inputs</vt:lpstr>
      <vt:lpstr>Route_Model</vt:lpstr>
      <vt:lpstr>Components</vt:lpstr>
      <vt:lpstr>Hub_Sensitivity</vt:lpstr>
      <vt:lpstr>Dashboard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SAMBHAV BAID</cp:lastModifiedBy>
  <cp:revision>1</cp:revision>
  <dcterms:created xsi:type="dcterms:W3CDTF">2026-10-26T19:45:09Z</dcterms:created>
  <dcterms:modified xsi:type="dcterms:W3CDTF">2026-10-28T04:43:42Z</dcterms:modified>
  <dc:language>en-US</dc:language>
</cp:coreProperties>
</file>