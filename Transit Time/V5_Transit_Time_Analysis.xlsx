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mary_Routes" sheetId="2" state="visible" r:id="rId4"/>
    <sheet name="Secondary_Routes" sheetId="3" state="visible" r:id="rId5"/>
    <sheet name="Aggregates" sheetId="4" state="visible" r:id="rId6"/>
    <sheet name="Scenarios" sheetId="5" state="visible" r:id="rId7"/>
    <sheet name="Data_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<sst xmlns="http://schemas.openxmlformats.org/spreadsheetml/2006/main" count="114" uniqueCount="101">
  <si>
    <t xml:space="preserve">V5 Logistics – Transit-Time Analysis Workbook</t>
  </si>
  <si>
    <t xml:space="preserve">Bhiwandi–Kolhapur Mini-Hub Assessment | Prepared by Sambhav, Part-time Intern | Route validation date: 23 October 2026</t>
  </si>
  <si>
    <t xml:space="preserve">Colour legend: BLUE text on light-blue fill = source input (hours and minutes entered as recorded). BLACK text on grey fill = calculated by formula. YELLOW = analyst-selected scenario assumption.</t>
  </si>
  <si>
    <t xml:space="preserve">Sheets: Primary_Routes | Secondary_Routes | Aggregates | Scenarios | Data_Notes.</t>
  </si>
  <si>
    <t xml:space="preserve">All times are Google Maps estimated driving times from V5 route notes. They are NOT actual shipment transit times, NOT volume-weighted, and NOT end-to-end lead times.</t>
  </si>
  <si>
    <t xml:space="preserve">Aggregates sum route estimates with equal weight per comparison; the primary and secondary comparisons are different network legs and are not one shipment journey.</t>
  </si>
  <si>
    <t xml:space="preserve">Approximate (~) flags are preserved from the source. Time-saved and reduction cells are formulas and update if inputs change.</t>
  </si>
  <si>
    <t xml:space="preserve">Audit finding: the briefing totals for the secondary and combined aggregates (56h 05m / 20h 32m; 63.32%; 48.20%) do not reconcile to the route table. Correct sums are shown here; see Data_Notes.</t>
  </si>
  <si>
    <t xml:space="preserve">No financial, volume or freight-cost data are included; those were outside the scope of this analysis.</t>
  </si>
  <si>
    <t xml:space="preserve">Primary routes – calculations</t>
  </si>
  <si>
    <t xml:space="preserve">Blue = source input (h, m). Grey = formula. Percentage reduction = time saved ÷ Bhiwandi time.</t>
  </si>
  <si>
    <t xml:space="preserve">Origin</t>
  </si>
  <si>
    <t xml:space="preserve">Existing route</t>
  </si>
  <si>
    <t xml:space="preserve">Bhiwandi h</t>
  </si>
  <si>
    <t xml:space="preserve">Bhiwandi m</t>
  </si>
  <si>
    <t xml:space="preserve">Proposed route</t>
  </si>
  <si>
    <t xml:space="preserve">Kolhapur h</t>
  </si>
  <si>
    <t xml:space="preserve">Kolhapur m</t>
  </si>
  <si>
    <t xml:space="preserve">Bhiwandi (min)</t>
  </si>
  <si>
    <t xml:space="preserve">Kolhapur (min)</t>
  </si>
  <si>
    <t xml:space="preserve">Time saved (min)</t>
  </si>
  <si>
    <t xml:space="preserve">Time saved (h m)</t>
  </si>
  <si>
    <t xml:space="preserve">Reduction (%)</t>
  </si>
  <si>
    <t xml:space="preserve">Preferred hub</t>
  </si>
  <si>
    <t xml:space="preserve">Data note</t>
  </si>
  <si>
    <t xml:space="preserve">Goa</t>
  </si>
  <si>
    <t xml:space="preserve">Goa–Bhiwandi</t>
  </si>
  <si>
    <t xml:space="preserve">Goa–Kolhapur</t>
  </si>
  <si>
    <t xml:space="preserve">Source recorded; Kolhapur time marked ~ in source report</t>
  </si>
  <si>
    <t xml:space="preserve">Bengaluru</t>
  </si>
  <si>
    <t xml:space="preserve">Bengaluru–Bhiwandi</t>
  </si>
  <si>
    <t xml:space="preserve">Bengaluru–Kolhapur</t>
  </si>
  <si>
    <t xml:space="preserve">Source recorded; Kolhapur time marked ~ (provisional) in source report</t>
  </si>
  <si>
    <t xml:space="preserve">Chennai</t>
  </si>
  <si>
    <t xml:space="preserve">Chennai–Bhiwandi</t>
  </si>
  <si>
    <t xml:space="preserve">Chennai–Kolhapur</t>
  </si>
  <si>
    <t xml:space="preserve">Source marks Chennai–Kolhapur time provisional; online check indicated ~13.7–17h. Retained per working values; re-verify.</t>
  </si>
  <si>
    <t xml:space="preserve">Total (3 comparisons)</t>
  </si>
  <si>
    <t xml:space="preserve">Secondary destinations – calculations</t>
  </si>
  <si>
    <t xml:space="preserve">Approximate (~) source values flagged with 1. Solapur Bhiwandi estimate (7h 59m, 401 km) from later Google Maps screenshot; Kolhapur estimate (3h 46m, 237 km) from source report.</t>
  </si>
  <si>
    <t xml:space="preserve">Destination</t>
  </si>
  <si>
    <t xml:space="preserve">Bhiwandi approx? (1=yes)</t>
  </si>
  <si>
    <t xml:space="preserve">Kolhapur approx? (1=yes)</t>
  </si>
  <si>
    <t xml:space="preserve">Rank (by %)</t>
  </si>
  <si>
    <t xml:space="preserve">Data confidence flag</t>
  </si>
  <si>
    <t xml:space="preserve">Satara</t>
  </si>
  <si>
    <t xml:space="preserve">Sangli</t>
  </si>
  <si>
    <t xml:space="preserve">Karad</t>
  </si>
  <si>
    <t xml:space="preserve">Latur</t>
  </si>
  <si>
    <t xml:space="preserve">Sindhudurg</t>
  </si>
  <si>
    <t xml:space="preserve">Ratnagiri</t>
  </si>
  <si>
    <t xml:space="preserve">Dharashiv</t>
  </si>
  <si>
    <t xml:space="preserve">Solapur</t>
  </si>
  <si>
    <t xml:space="preserve">Total (8 comparisons)</t>
  </si>
  <si>
    <t xml:space="preserve">Nanded: similar estimated driving times (~9h from both hubs per source report); flagged for operational validation, not scored here as a transit-time improvement.</t>
  </si>
  <si>
    <t xml:space="preserve">Aggregate illustrative comparisons</t>
  </si>
  <si>
    <t xml:space="preserve">Aggregate reduction = (Σ baseline − Σ proposed) ÷ Σ baseline. Unweighted: not shipment-volume or frequency weighted.</t>
  </si>
  <si>
    <t xml:space="preserve">Category</t>
  </si>
  <si>
    <t xml:space="preserve">Baseline (min)</t>
  </si>
  <si>
    <t xml:space="preserve">Proposed (min)</t>
  </si>
  <si>
    <t xml:space="preserve">Baseline (h m)</t>
  </si>
  <si>
    <t xml:space="preserve">Proposed (h m)</t>
  </si>
  <si>
    <t xml:space="preserve">Saved (h m)</t>
  </si>
  <si>
    <t xml:space="preserve">Briefing figure (%)</t>
  </si>
  <si>
    <t xml:space="preserve">Difference (pp)</t>
  </si>
  <si>
    <t xml:space="preserve">Primary routes (3)</t>
  </si>
  <si>
    <t xml:space="preserve">Selected secondary destinations (8)</t>
  </si>
  <si>
    <t xml:space="preserve">Combined illustrative comparisons (11)</t>
  </si>
  <si>
    <t xml:space="preserve">Briefing figure (blue) is the value stated in the project brief. Only the primary figure reconciles; secondary and combined baseline/proposed totals do not (see Data_Notes). Time saved matches the brief in all three rows.</t>
  </si>
  <si>
    <t xml:space="preserve">Planning scenarios – illustrative only</t>
  </si>
  <si>
    <t xml:space="preserve">30%, 35% and 40% are analyst-selected scenarios, not observed outcomes or statistically validated confidence bounds.</t>
  </si>
  <si>
    <t xml:space="preserve">Combined baseline (min)</t>
  </si>
  <si>
    <t xml:space="preserve">Scenario</t>
  </si>
  <si>
    <t xml:space="preserve">Assumed reduction (%)</t>
  </si>
  <si>
    <t xml:space="preserve">Illustrative time saved (min)</t>
  </si>
  <si>
    <t xml:space="preserve">Illustrative time saved (h m)</t>
  </si>
  <si>
    <t xml:space="preserve">Illustrative proposed (h m)</t>
  </si>
  <si>
    <t xml:space="preserve">Basis</t>
  </si>
  <si>
    <t xml:space="preserve">Conservative</t>
  </si>
  <si>
    <t xml:space="preserve">Analyst-selected planning assumption</t>
  </si>
  <si>
    <t xml:space="preserve">Moderate</t>
  </si>
  <si>
    <t xml:space="preserve">Upper planning hypothesis</t>
  </si>
  <si>
    <t xml:space="preserve">Analyst-selected; upper end of 30–40% discussion range</t>
  </si>
  <si>
    <t xml:space="preserve">Route-estimate case</t>
  </si>
  <si>
    <t xml:space="preserve">Calculated from current route estimates (corrected arithmetic)</t>
  </si>
  <si>
    <t xml:space="preserve">Hours shown apply each % to the summed combined route-comparison baseline; they are not forecasts of shipment lead-time reduction.</t>
  </si>
  <si>
    <t xml:space="preserve">Data-quality and reconciliation notes</t>
  </si>
  <si>
    <t xml:space="preserve">1. Secondary totals</t>
  </si>
  <si>
    <t xml:space="preserve">Briefing: baseline 56h 05m, proposed 20h 32m, reduction 63.32%. Recalculated from the eight route rows: baseline 60h 18m (3,618 min), proposed 24h 45m (1,485 min). Time saved 35h 33m (2,133 min) agrees. Correct reduction = 58.96%.</t>
  </si>
  <si>
    <t xml:space="preserve">2. Combined totals</t>
  </si>
  <si>
    <t xml:space="preserve">Briefing: 108h 59m / 56h 26m / 48.20%. Recalculated: 113h 12m (6,792 min) / 60h 39m (3,639 min) / 46.42%. Time saved 52h 33m agrees. The 48.20% figure is superseded by 46.42%.</t>
  </si>
  <si>
    <t xml:space="preserve">3. Chennai–Kolhapur time</t>
  </si>
  <si>
    <t xml:space="preserve">Working value 20h 09m kept. Source report marks it provisional and an online check indicated roughly 13.7–17h. Conflict preserved, not reconciled.</t>
  </si>
  <si>
    <t xml:space="preserve">4. Solapur</t>
  </si>
  <si>
    <t xml:space="preserve">Bhiwandi 7h 59m (401 km) from later Google Maps screenshot; Kolhapur 3h 46m (237 km) from source report. Source report held Solapur as pending; final like-for-like validation advisable.</t>
  </si>
  <si>
    <t xml:space="preserve">5. Nanded</t>
  </si>
  <si>
    <t xml:space="preserve">Similar estimated times (~9h both hubs). Flagged for operational validation; not claimed as an improvement.</t>
  </si>
  <si>
    <t xml:space="preserve">6. Approximations</t>
  </si>
  <si>
    <t xml:space="preserve">Sindhudurg (Kolhapur ~3h), Ratnagiri (both ~7h / ~3h), Dharashiv (both ~8h / ~5h) are approximate in source. Flags preserved.</t>
  </si>
  <si>
    <t xml:space="preserve">7. Source distances (km)</t>
  </si>
  <si>
    <t xml:space="preserve">Source report distances, not used in time calculations: Goa 600/223, Chennai 1,338/937, Bengaluru 1,002/631 (Bhiwandi/Kolhapur). Source totals 2,940 km vs 1,791 km (39.1%) are one-way distance comparisons and are a different measure.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</si>
</sst>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%"/>
    <numFmt numFmtId="167" formatCode="0.0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EAF1F8"/>
        <bgColor rgb="FFF4F4F4"/>
      </patternFill>
    </fill>
    <fill>
      <patternFill patternType="solid">
        <fgColor rgb="FFF4F4F4"/>
        <bgColor rgb="FFEAF1F8"/>
      </patternFill>
    </fill>
    <fill>
      <patternFill patternType="solid">
        <fgColor rgb="FFFFF2CC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</row>
    <row r="5" customFormat="false" ht="33.75" hidden="false" customHeight="true" outlineLevel="0" collapsed="false">
      <c r="A5" s="3" t="s">
        <v>3</v>
      </c>
    </row>
    <row r="6" customFormat="false" ht="33.75" hidden="false" customHeight="true" outlineLevel="0" collapsed="false">
      <c r="A6" s="3" t="s">
        <v>4</v>
      </c>
    </row>
    <row r="7" customFormat="false" ht="33.75" hidden="false" customHeight="true" outlineLevel="0" collapsed="false">
      <c r="A7" s="3" t="s">
        <v>5</v>
      </c>
    </row>
    <row r="8" customFormat="false" ht="33.75" hidden="false" customHeight="true" outlineLevel="0" collapsed="false">
      <c r="A8" s="3" t="s">
        <v>6</v>
      </c>
    </row>
    <row r="9" customFormat="false" ht="33.75" hidden="false" customHeight="true" outlineLevel="0" collapsed="false">
      <c r="A9" s="3" t="s">
        <v>7</v>
      </c>
    </row>
    <row r="10" customFormat="false" ht="33.75" hidden="false" customHeight="true" outlineLevel="0" collapsed="false">
      <c r="A10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1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11" min="8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7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43.5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</row>
    <row r="5" customFormat="false" ht="15" hidden="false" customHeight="false" outlineLevel="0" collapsed="false">
      <c r="A5" s="5" t="s">
        <v>25</v>
      </c>
      <c r="B5" s="5" t="s">
        <v>26</v>
      </c>
      <c r="C5" s="5" t="n">
        <v>11</v>
      </c>
      <c r="D5" s="5" t="n">
        <v>40</v>
      </c>
      <c r="E5" s="5" t="s">
        <v>27</v>
      </c>
      <c r="F5" s="5" t="n">
        <v>5</v>
      </c>
      <c r="G5" s="5" t="n">
        <v>5</v>
      </c>
      <c r="H5" s="6" t="n">
        <f aca="false">C5*60+D5</f>
        <v>700</v>
      </c>
      <c r="I5" s="6" t="n">
        <f aca="false">F5*60+G5</f>
        <v>305</v>
      </c>
      <c r="J5" s="6" t="n">
        <f aca="false">H5-I5</f>
        <v>395</v>
      </c>
      <c r="K5" s="6" t="str">
        <f aca="false">INT(J5/60)&amp;"h "&amp;TEXT(MOD(J5,60),"00")&amp;"m"</f>
        <v>6h 35m</v>
      </c>
      <c r="L5" s="7" t="n">
        <f aca="false">J5/H5</f>
        <v>0.564285714285714</v>
      </c>
      <c r="M5" s="6" t="str">
        <f aca="false">IF(J5&gt;0,"Kolhapur","Bhiwandi")</f>
        <v>Kolhapur</v>
      </c>
      <c r="N5" s="8" t="s">
        <v>28</v>
      </c>
    </row>
    <row r="6" customFormat="false" ht="15" hidden="false" customHeight="false" outlineLevel="0" collapsed="false">
      <c r="A6" s="5" t="s">
        <v>29</v>
      </c>
      <c r="B6" s="5" t="s">
        <v>30</v>
      </c>
      <c r="C6" s="5" t="n">
        <v>18</v>
      </c>
      <c r="D6" s="5" t="n">
        <v>15</v>
      </c>
      <c r="E6" s="5" t="s">
        <v>31</v>
      </c>
      <c r="F6" s="5" t="n">
        <v>10</v>
      </c>
      <c r="G6" s="5" t="n">
        <v>40</v>
      </c>
      <c r="H6" s="6" t="n">
        <f aca="false">C6*60+D6</f>
        <v>1095</v>
      </c>
      <c r="I6" s="6" t="n">
        <f aca="false">F6*60+G6</f>
        <v>640</v>
      </c>
      <c r="J6" s="6" t="n">
        <f aca="false">H6-I6</f>
        <v>455</v>
      </c>
      <c r="K6" s="6" t="str">
        <f aca="false">INT(J6/60)&amp;"h "&amp;TEXT(MOD(J6,60),"00")&amp;"m"</f>
        <v>7h 35m</v>
      </c>
      <c r="L6" s="7" t="n">
        <f aca="false">J6/H6</f>
        <v>0.415525114155251</v>
      </c>
      <c r="M6" s="6" t="str">
        <f aca="false">IF(J6&gt;0,"Kolhapur","Bhiwandi")</f>
        <v>Kolhapur</v>
      </c>
      <c r="N6" s="8" t="s">
        <v>32</v>
      </c>
    </row>
    <row r="7" customFormat="false" ht="15" hidden="false" customHeight="false" outlineLevel="0" collapsed="false">
      <c r="A7" s="5" t="s">
        <v>33</v>
      </c>
      <c r="B7" s="5" t="s">
        <v>34</v>
      </c>
      <c r="C7" s="5" t="n">
        <v>22</v>
      </c>
      <c r="D7" s="5" t="n">
        <v>59</v>
      </c>
      <c r="E7" s="5" t="s">
        <v>35</v>
      </c>
      <c r="F7" s="5" t="n">
        <v>20</v>
      </c>
      <c r="G7" s="5" t="n">
        <v>9</v>
      </c>
      <c r="H7" s="6" t="n">
        <f aca="false">C7*60+D7</f>
        <v>1379</v>
      </c>
      <c r="I7" s="6" t="n">
        <f aca="false">F7*60+G7</f>
        <v>1209</v>
      </c>
      <c r="J7" s="6" t="n">
        <f aca="false">H7-I7</f>
        <v>170</v>
      </c>
      <c r="K7" s="6" t="str">
        <f aca="false">INT(J7/60)&amp;"h "&amp;TEXT(MOD(J7,60),"00")&amp;"m"</f>
        <v>2h 50m</v>
      </c>
      <c r="L7" s="7" t="n">
        <f aca="false">J7/H7</f>
        <v>0.123277737490935</v>
      </c>
      <c r="M7" s="6" t="str">
        <f aca="false">IF(J7&gt;0,"Kolhapur","Bhiwandi")</f>
        <v>Kolhapur</v>
      </c>
      <c r="N7" s="8" t="s">
        <v>36</v>
      </c>
    </row>
    <row r="8" customFormat="false" ht="15" hidden="false" customHeight="false" outlineLevel="0" collapsed="false">
      <c r="A8" s="9" t="s">
        <v>37</v>
      </c>
      <c r="B8" s="10"/>
      <c r="C8" s="10"/>
      <c r="D8" s="10"/>
      <c r="E8" s="10"/>
      <c r="F8" s="10"/>
      <c r="G8" s="10"/>
      <c r="H8" s="9" t="n">
        <f aca="false">SUM(H5:H7)</f>
        <v>3174</v>
      </c>
      <c r="I8" s="9" t="n">
        <f aca="false">SUM(I5:I7)</f>
        <v>2154</v>
      </c>
      <c r="J8" s="9" t="n">
        <f aca="false">SUM(J5:J7)</f>
        <v>1020</v>
      </c>
      <c r="K8" s="9" t="str">
        <f aca="false">INT(J8/60)&amp;"h "&amp;TEXT(MOD(J8,60),"00")&amp;"m"</f>
        <v>17h 00m</v>
      </c>
      <c r="L8" s="11" t="n">
        <f aca="false">J8/H8</f>
        <v>0.321361058601134</v>
      </c>
      <c r="M8" s="10"/>
      <c r="N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11" min="7" style="0" width="1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43.5" hidden="false" customHeight="true" outlineLevel="0" collapsed="false">
      <c r="A4" s="4" t="s">
        <v>40</v>
      </c>
      <c r="B4" s="4" t="s">
        <v>13</v>
      </c>
      <c r="C4" s="4" t="s">
        <v>14</v>
      </c>
      <c r="D4" s="4" t="s">
        <v>41</v>
      </c>
      <c r="E4" s="4" t="s">
        <v>16</v>
      </c>
      <c r="F4" s="4" t="s">
        <v>17</v>
      </c>
      <c r="G4" s="4" t="s">
        <v>42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43</v>
      </c>
      <c r="N4" s="4" t="s">
        <v>23</v>
      </c>
      <c r="O4" s="4" t="s">
        <v>44</v>
      </c>
    </row>
    <row r="5" customFormat="false" ht="15" hidden="false" customHeight="false" outlineLevel="0" collapsed="false">
      <c r="A5" s="5" t="s">
        <v>45</v>
      </c>
      <c r="B5" s="5" t="n">
        <v>5</v>
      </c>
      <c r="C5" s="5" t="n">
        <v>18</v>
      </c>
      <c r="D5" s="5" t="n">
        <v>0</v>
      </c>
      <c r="E5" s="5" t="n">
        <v>2</v>
      </c>
      <c r="F5" s="5" t="n">
        <v>8</v>
      </c>
      <c r="G5" s="5" t="n">
        <v>0</v>
      </c>
      <c r="H5" s="6" t="n">
        <f aca="false">B5*60+C5</f>
        <v>318</v>
      </c>
      <c r="I5" s="6" t="n">
        <f aca="false">E5*60+F5</f>
        <v>128</v>
      </c>
      <c r="J5" s="6" t="n">
        <f aca="false">H5-I5</f>
        <v>190</v>
      </c>
      <c r="K5" s="6" t="str">
        <f aca="false">INT(J5/60)&amp;"h "&amp;TEXT(MOD(J5,60),"00")&amp;"m"</f>
        <v>3h 10m</v>
      </c>
      <c r="L5" s="7" t="n">
        <f aca="false">J5/H5</f>
        <v>0.59748427672956</v>
      </c>
      <c r="M5" s="6" t="n">
        <f aca="false">RANK(L5,$L$5:$L$12)</f>
        <v>4</v>
      </c>
      <c r="N5" s="6" t="str">
        <f aca="false">IF(J5&gt;0,"Kolhapur","Bhiwandi")</f>
        <v>Kolhapur</v>
      </c>
      <c r="O5" s="6" t="str">
        <f aca="false">IF(D5+G5=0,"Source-recorded (exact)",IF(D5+G5=2,"Approximate – both estimates","Approximate – one estimate"))</f>
        <v>Source-recorded (exact)</v>
      </c>
    </row>
    <row r="6" customFormat="false" ht="15" hidden="false" customHeight="false" outlineLevel="0" collapsed="false">
      <c r="A6" s="5" t="s">
        <v>46</v>
      </c>
      <c r="B6" s="5" t="n">
        <v>7</v>
      </c>
      <c r="C6" s="5" t="n">
        <v>32</v>
      </c>
      <c r="D6" s="5" t="n">
        <v>0</v>
      </c>
      <c r="E6" s="5" t="n">
        <v>1</v>
      </c>
      <c r="F6" s="5" t="n">
        <v>0</v>
      </c>
      <c r="G6" s="5" t="n">
        <v>0</v>
      </c>
      <c r="H6" s="6" t="n">
        <f aca="false">B6*60+C6</f>
        <v>452</v>
      </c>
      <c r="I6" s="6" t="n">
        <f aca="false">E6*60+F6</f>
        <v>60</v>
      </c>
      <c r="J6" s="6" t="n">
        <f aca="false">H6-I6</f>
        <v>392</v>
      </c>
      <c r="K6" s="6" t="str">
        <f aca="false">INT(J6/60)&amp;"h "&amp;TEXT(MOD(J6,60),"00")&amp;"m"</f>
        <v>6h 32m</v>
      </c>
      <c r="L6" s="7" t="n">
        <f aca="false">J6/H6</f>
        <v>0.867256637168142</v>
      </c>
      <c r="M6" s="6" t="n">
        <f aca="false">RANK(L6,$L$5:$L$12)</f>
        <v>1</v>
      </c>
      <c r="N6" s="6" t="str">
        <f aca="false">IF(J6&gt;0,"Kolhapur","Bhiwandi")</f>
        <v>Kolhapur</v>
      </c>
      <c r="O6" s="6" t="str">
        <f aca="false">IF(D6+G6=0,"Source-recorded (exact)",IF(D6+G6=2,"Approximate – both estimates","Approximate – one estimate"))</f>
        <v>Source-recorded (exact)</v>
      </c>
    </row>
    <row r="7" customFormat="false" ht="15" hidden="false" customHeight="false" outlineLevel="0" collapsed="false">
      <c r="A7" s="5" t="s">
        <v>47</v>
      </c>
      <c r="B7" s="5" t="n">
        <v>6</v>
      </c>
      <c r="C7" s="5" t="n">
        <v>16</v>
      </c>
      <c r="D7" s="5" t="n">
        <v>0</v>
      </c>
      <c r="E7" s="5" t="n">
        <v>1</v>
      </c>
      <c r="F7" s="5" t="n">
        <v>5</v>
      </c>
      <c r="G7" s="5" t="n">
        <v>0</v>
      </c>
      <c r="H7" s="6" t="n">
        <f aca="false">B7*60+C7</f>
        <v>376</v>
      </c>
      <c r="I7" s="6" t="n">
        <f aca="false">E7*60+F7</f>
        <v>65</v>
      </c>
      <c r="J7" s="6" t="n">
        <f aca="false">H7-I7</f>
        <v>311</v>
      </c>
      <c r="K7" s="6" t="str">
        <f aca="false">INT(J7/60)&amp;"h "&amp;TEXT(MOD(J7,60),"00")&amp;"m"</f>
        <v>5h 11m</v>
      </c>
      <c r="L7" s="7" t="n">
        <f aca="false">J7/H7</f>
        <v>0.827127659574468</v>
      </c>
      <c r="M7" s="6" t="n">
        <f aca="false">RANK(L7,$L$5:$L$12)</f>
        <v>2</v>
      </c>
      <c r="N7" s="6" t="str">
        <f aca="false">IF(J7&gt;0,"Kolhapur","Bhiwandi")</f>
        <v>Kolhapur</v>
      </c>
      <c r="O7" s="6" t="str">
        <f aca="false">IF(D7+G7=0,"Source-recorded (exact)",IF(D7+G7=2,"Approximate – both estimates","Approximate – one estimate"))</f>
        <v>Source-recorded (exact)</v>
      </c>
    </row>
    <row r="8" customFormat="false" ht="15" hidden="false" customHeight="false" outlineLevel="0" collapsed="false">
      <c r="A8" s="5" t="s">
        <v>48</v>
      </c>
      <c r="B8" s="5" t="n">
        <v>8</v>
      </c>
      <c r="C8" s="5" t="n">
        <v>48</v>
      </c>
      <c r="D8" s="5" t="n">
        <v>0</v>
      </c>
      <c r="E8" s="5" t="n">
        <v>5</v>
      </c>
      <c r="F8" s="5" t="n">
        <v>46</v>
      </c>
      <c r="G8" s="5" t="n">
        <v>0</v>
      </c>
      <c r="H8" s="6" t="n">
        <f aca="false">B8*60+C8</f>
        <v>528</v>
      </c>
      <c r="I8" s="6" t="n">
        <f aca="false">E8*60+F8</f>
        <v>346</v>
      </c>
      <c r="J8" s="6" t="n">
        <f aca="false">H8-I8</f>
        <v>182</v>
      </c>
      <c r="K8" s="6" t="str">
        <f aca="false">INT(J8/60)&amp;"h "&amp;TEXT(MOD(J8,60),"00")&amp;"m"</f>
        <v>3h 02m</v>
      </c>
      <c r="L8" s="7" t="n">
        <f aca="false">J8/H8</f>
        <v>0.34469696969697</v>
      </c>
      <c r="M8" s="6" t="n">
        <f aca="false">RANK(L8,$L$5:$L$12)</f>
        <v>8</v>
      </c>
      <c r="N8" s="6" t="str">
        <f aca="false">IF(J8&gt;0,"Kolhapur","Bhiwandi")</f>
        <v>Kolhapur</v>
      </c>
      <c r="O8" s="6" t="str">
        <f aca="false">IF(D8+G8=0,"Source-recorded (exact)",IF(D8+G8=2,"Approximate – both estimates","Approximate – one estimate"))</f>
        <v>Source-recorded (exact)</v>
      </c>
    </row>
    <row r="9" customFormat="false" ht="15" hidden="false" customHeight="false" outlineLevel="0" collapsed="false">
      <c r="A9" s="5" t="s">
        <v>49</v>
      </c>
      <c r="B9" s="5" t="n">
        <v>9</v>
      </c>
      <c r="C9" s="5" t="n">
        <v>25</v>
      </c>
      <c r="D9" s="5" t="n">
        <v>0</v>
      </c>
      <c r="E9" s="5" t="n">
        <v>3</v>
      </c>
      <c r="F9" s="5" t="n">
        <v>0</v>
      </c>
      <c r="G9" s="5" t="n">
        <v>1</v>
      </c>
      <c r="H9" s="6" t="n">
        <f aca="false">B9*60+C9</f>
        <v>565</v>
      </c>
      <c r="I9" s="6" t="n">
        <f aca="false">E9*60+F9</f>
        <v>180</v>
      </c>
      <c r="J9" s="6" t="n">
        <f aca="false">H9-I9</f>
        <v>385</v>
      </c>
      <c r="K9" s="6" t="str">
        <f aca="false">INT(J9/60)&amp;"h "&amp;TEXT(MOD(J9,60),"00")&amp;"m"</f>
        <v>6h 25m</v>
      </c>
      <c r="L9" s="7" t="n">
        <f aca="false">J9/H9</f>
        <v>0.68141592920354</v>
      </c>
      <c r="M9" s="6" t="n">
        <f aca="false">RANK(L9,$L$5:$L$12)</f>
        <v>3</v>
      </c>
      <c r="N9" s="6" t="str">
        <f aca="false">IF(J9&gt;0,"Kolhapur","Bhiwandi")</f>
        <v>Kolhapur</v>
      </c>
      <c r="O9" s="6" t="str">
        <f aca="false">IF(D9+G9=0,"Source-recorded (exact)",IF(D9+G9=2,"Approximate – both estimates","Approximate – one estimate"))</f>
        <v>Approximate – one estimate</v>
      </c>
    </row>
    <row r="10" customFormat="false" ht="15" hidden="false" customHeight="false" outlineLevel="0" collapsed="false">
      <c r="A10" s="5" t="s">
        <v>50</v>
      </c>
      <c r="B10" s="5" t="n">
        <v>7</v>
      </c>
      <c r="C10" s="5" t="n">
        <v>0</v>
      </c>
      <c r="D10" s="5" t="n">
        <v>1</v>
      </c>
      <c r="E10" s="5" t="n">
        <v>3</v>
      </c>
      <c r="F10" s="5" t="n">
        <v>0</v>
      </c>
      <c r="G10" s="5" t="n">
        <v>1</v>
      </c>
      <c r="H10" s="6" t="n">
        <f aca="false">B10*60+C10</f>
        <v>420</v>
      </c>
      <c r="I10" s="6" t="n">
        <f aca="false">E10*60+F10</f>
        <v>180</v>
      </c>
      <c r="J10" s="6" t="n">
        <f aca="false">H10-I10</f>
        <v>240</v>
      </c>
      <c r="K10" s="6" t="str">
        <f aca="false">INT(J10/60)&amp;"h "&amp;TEXT(MOD(J10,60),"00")&amp;"m"</f>
        <v>4h 00m</v>
      </c>
      <c r="L10" s="7" t="n">
        <f aca="false">J10/H10</f>
        <v>0.571428571428571</v>
      </c>
      <c r="M10" s="6" t="n">
        <f aca="false">RANK(L10,$L$5:$L$12)</f>
        <v>5</v>
      </c>
      <c r="N10" s="6" t="str">
        <f aca="false">IF(J10&gt;0,"Kolhapur","Bhiwandi")</f>
        <v>Kolhapur</v>
      </c>
      <c r="O10" s="6" t="str">
        <f aca="false">IF(D10+G10=0,"Source-recorded (exact)",IF(D10+G10=2,"Approximate – both estimates","Approximate – one estimate"))</f>
        <v>Approximate – both estimates</v>
      </c>
    </row>
    <row r="11" customFormat="false" ht="15" hidden="false" customHeight="false" outlineLevel="0" collapsed="false">
      <c r="A11" s="5" t="s">
        <v>51</v>
      </c>
      <c r="B11" s="5" t="n">
        <v>8</v>
      </c>
      <c r="C11" s="5" t="n">
        <v>0</v>
      </c>
      <c r="D11" s="5" t="n">
        <v>1</v>
      </c>
      <c r="E11" s="5" t="n">
        <v>5</v>
      </c>
      <c r="F11" s="5" t="n">
        <v>0</v>
      </c>
      <c r="G11" s="5" t="n">
        <v>1</v>
      </c>
      <c r="H11" s="6" t="n">
        <f aca="false">B11*60+C11</f>
        <v>480</v>
      </c>
      <c r="I11" s="6" t="n">
        <f aca="false">E11*60+F11</f>
        <v>300</v>
      </c>
      <c r="J11" s="6" t="n">
        <f aca="false">H11-I11</f>
        <v>180</v>
      </c>
      <c r="K11" s="6" t="str">
        <f aca="false">INT(J11/60)&amp;"h "&amp;TEXT(MOD(J11,60),"00")&amp;"m"</f>
        <v>3h 00m</v>
      </c>
      <c r="L11" s="7" t="n">
        <f aca="false">J11/H11</f>
        <v>0.375</v>
      </c>
      <c r="M11" s="6" t="n">
        <f aca="false">RANK(L11,$L$5:$L$12)</f>
        <v>7</v>
      </c>
      <c r="N11" s="6" t="str">
        <f aca="false">IF(J11&gt;0,"Kolhapur","Bhiwandi")</f>
        <v>Kolhapur</v>
      </c>
      <c r="O11" s="6" t="str">
        <f aca="false">IF(D11+G11=0,"Source-recorded (exact)",IF(D11+G11=2,"Approximate – both estimates","Approximate – one estimate"))</f>
        <v>Approximate – both estimates</v>
      </c>
    </row>
    <row r="12" customFormat="false" ht="15" hidden="false" customHeight="false" outlineLevel="0" collapsed="false">
      <c r="A12" s="5" t="s">
        <v>52</v>
      </c>
      <c r="B12" s="5" t="n">
        <v>7</v>
      </c>
      <c r="C12" s="5" t="n">
        <v>59</v>
      </c>
      <c r="D12" s="5" t="n">
        <v>0</v>
      </c>
      <c r="E12" s="5" t="n">
        <v>3</v>
      </c>
      <c r="F12" s="5" t="n">
        <v>46</v>
      </c>
      <c r="G12" s="5" t="n">
        <v>0</v>
      </c>
      <c r="H12" s="6" t="n">
        <f aca="false">B12*60+C12</f>
        <v>479</v>
      </c>
      <c r="I12" s="6" t="n">
        <f aca="false">E12*60+F12</f>
        <v>226</v>
      </c>
      <c r="J12" s="6" t="n">
        <f aca="false">H12-I12</f>
        <v>253</v>
      </c>
      <c r="K12" s="6" t="str">
        <f aca="false">INT(J12/60)&amp;"h "&amp;TEXT(MOD(J12,60),"00")&amp;"m"</f>
        <v>4h 13m</v>
      </c>
      <c r="L12" s="7" t="n">
        <f aca="false">J12/H12</f>
        <v>0.528183716075157</v>
      </c>
      <c r="M12" s="6" t="n">
        <f aca="false">RANK(L12,$L$5:$L$12)</f>
        <v>6</v>
      </c>
      <c r="N12" s="6" t="str">
        <f aca="false">IF(J12&gt;0,"Kolhapur","Bhiwandi")</f>
        <v>Kolhapur</v>
      </c>
      <c r="O12" s="6" t="str">
        <f aca="false">IF(D12+G12=0,"Source-recorded (exact)",IF(D12+G12=2,"Approximate – both estimates","Approximate – one estimate"))</f>
        <v>Source-recorded (exact)</v>
      </c>
    </row>
    <row r="13" customFormat="false" ht="15" hidden="false" customHeight="false" outlineLevel="0" collapsed="false">
      <c r="A13" s="9" t="s">
        <v>53</v>
      </c>
      <c r="B13" s="10"/>
      <c r="C13" s="10"/>
      <c r="D13" s="10"/>
      <c r="E13" s="10"/>
      <c r="F13" s="10"/>
      <c r="G13" s="10"/>
      <c r="H13" s="9" t="n">
        <f aca="false">SUM(H5:H12)</f>
        <v>3618</v>
      </c>
      <c r="I13" s="9" t="n">
        <f aca="false">SUM(I5:I12)</f>
        <v>1485</v>
      </c>
      <c r="J13" s="9" t="n">
        <f aca="false">SUM(J5:J12)</f>
        <v>2133</v>
      </c>
      <c r="K13" s="9" t="str">
        <f aca="false">INT(J13/60)&amp;"h "&amp;TEXT(MOD(J13,60),"00")&amp;"m"</f>
        <v>35h 33m</v>
      </c>
      <c r="L13" s="11" t="n">
        <f aca="false">J13/H13</f>
        <v>0.58955223880597</v>
      </c>
      <c r="M13" s="10"/>
      <c r="N13" s="10"/>
      <c r="O13" s="10"/>
    </row>
    <row r="15" customFormat="false" ht="15" hidden="false" customHeight="false" outlineLevel="0" collapsed="false">
      <c r="A15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43.5" hidden="false" customHeight="true" outlineLevel="0" collapsed="false">
      <c r="A4" s="4" t="s">
        <v>57</v>
      </c>
      <c r="B4" s="4" t="s">
        <v>58</v>
      </c>
      <c r="C4" s="4" t="s">
        <v>59</v>
      </c>
      <c r="D4" s="4" t="s">
        <v>20</v>
      </c>
      <c r="E4" s="4" t="s">
        <v>60</v>
      </c>
      <c r="F4" s="4" t="s">
        <v>61</v>
      </c>
      <c r="G4" s="4" t="s">
        <v>62</v>
      </c>
      <c r="H4" s="4" t="s">
        <v>22</v>
      </c>
      <c r="I4" s="4" t="s">
        <v>63</v>
      </c>
      <c r="J4" s="4" t="s">
        <v>64</v>
      </c>
    </row>
    <row r="5" customFormat="false" ht="15" hidden="false" customHeight="false" outlineLevel="0" collapsed="false">
      <c r="A5" s="6" t="s">
        <v>65</v>
      </c>
      <c r="B5" s="6" t="n">
        <f aca="false">Primary_Routes!H8</f>
        <v>3174</v>
      </c>
      <c r="C5" s="6" t="n">
        <f aca="false">Primary_Routes!I8</f>
        <v>2154</v>
      </c>
      <c r="D5" s="6" t="n">
        <f aca="false">B5-C5</f>
        <v>1020</v>
      </c>
      <c r="E5" s="6" t="str">
        <f aca="false">INT(B5/60)&amp;"h "&amp;TEXT(MOD(B5,60),"00")&amp;"m"</f>
        <v>52h 54m</v>
      </c>
      <c r="F5" s="6" t="str">
        <f aca="false">INT(C5/60)&amp;"h "&amp;TEXT(MOD(C5,60),"00")&amp;"m"</f>
        <v>35h 54m</v>
      </c>
      <c r="G5" s="6" t="str">
        <f aca="false">INT(D5/60)&amp;"h "&amp;TEXT(MOD(D5,60),"00")&amp;"m"</f>
        <v>17h 00m</v>
      </c>
      <c r="H5" s="7" t="n">
        <f aca="false">D5/B5</f>
        <v>0.321361058601134</v>
      </c>
      <c r="I5" s="12" t="n">
        <v>0.3214</v>
      </c>
      <c r="J5" s="13" t="n">
        <f aca="false">(H5-I5)*100</f>
        <v>-0.00389413988657883</v>
      </c>
    </row>
    <row r="6" customFormat="false" ht="15" hidden="false" customHeight="false" outlineLevel="0" collapsed="false">
      <c r="A6" s="6" t="s">
        <v>66</v>
      </c>
      <c r="B6" s="6" t="n">
        <f aca="false">Secondary_Routes!H13</f>
        <v>3618</v>
      </c>
      <c r="C6" s="6" t="n">
        <f aca="false">Secondary_Routes!I13</f>
        <v>1485</v>
      </c>
      <c r="D6" s="6" t="n">
        <f aca="false">B6-C6</f>
        <v>2133</v>
      </c>
      <c r="E6" s="6" t="str">
        <f aca="false">INT(B6/60)&amp;"h "&amp;TEXT(MOD(B6,60),"00")&amp;"m"</f>
        <v>60h 18m</v>
      </c>
      <c r="F6" s="6" t="str">
        <f aca="false">INT(C6/60)&amp;"h "&amp;TEXT(MOD(C6,60),"00")&amp;"m"</f>
        <v>24h 45m</v>
      </c>
      <c r="G6" s="6" t="str">
        <f aca="false">INT(D6/60)&amp;"h "&amp;TEXT(MOD(D6,60),"00")&amp;"m"</f>
        <v>35h 33m</v>
      </c>
      <c r="H6" s="7" t="n">
        <f aca="false">D6/B6</f>
        <v>0.58955223880597</v>
      </c>
      <c r="I6" s="12" t="n">
        <v>0.6332</v>
      </c>
      <c r="J6" s="13" t="n">
        <f aca="false">(H6-I6)*100</f>
        <v>-4.36477611940298</v>
      </c>
    </row>
    <row r="7" customFormat="false" ht="15" hidden="false" customHeight="false" outlineLevel="0" collapsed="false">
      <c r="A7" s="6" t="s">
        <v>67</v>
      </c>
      <c r="B7" s="6" t="n">
        <f aca="false">B5+B6</f>
        <v>6792</v>
      </c>
      <c r="C7" s="6" t="n">
        <f aca="false">C5+C6</f>
        <v>3639</v>
      </c>
      <c r="D7" s="6" t="n">
        <f aca="false">B7-C7</f>
        <v>3153</v>
      </c>
      <c r="E7" s="6" t="str">
        <f aca="false">INT(B7/60)&amp;"h "&amp;TEXT(MOD(B7,60),"00")&amp;"m"</f>
        <v>113h 12m</v>
      </c>
      <c r="F7" s="6" t="str">
        <f aca="false">INT(C7/60)&amp;"h "&amp;TEXT(MOD(C7,60),"00")&amp;"m"</f>
        <v>60h 39m</v>
      </c>
      <c r="G7" s="6" t="str">
        <f aca="false">INT(D7/60)&amp;"h "&amp;TEXT(MOD(D7,60),"00")&amp;"m"</f>
        <v>52h 33m</v>
      </c>
      <c r="H7" s="7" t="n">
        <f aca="false">D7/B7</f>
        <v>0.464222614840989</v>
      </c>
      <c r="I7" s="12" t="n">
        <v>0.482</v>
      </c>
      <c r="J7" s="13" t="n">
        <f aca="false">(H7-I7)*100</f>
        <v>-1.77773851590106</v>
      </c>
    </row>
    <row r="9" customFormat="false" ht="15" hidden="false" customHeight="false" outlineLevel="0" collapsed="false">
      <c r="A9" s="1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15" t="s">
        <v>71</v>
      </c>
      <c r="B4" s="8" t="n">
        <f aca="false">Aggregates!B7</f>
        <v>6792</v>
      </c>
    </row>
    <row r="6" customFormat="false" ht="43.5" hidden="false" customHeight="true" outlineLevel="0" collapsed="false">
      <c r="A6" s="4" t="s">
        <v>72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</row>
    <row r="7" customFormat="false" ht="15" hidden="false" customHeight="false" outlineLevel="0" collapsed="false">
      <c r="A7" s="6" t="s">
        <v>78</v>
      </c>
      <c r="B7" s="16" t="n">
        <v>0.3</v>
      </c>
      <c r="C7" s="17" t="n">
        <f aca="false">$B$4*B7</f>
        <v>2037.6</v>
      </c>
      <c r="D7" s="6" t="str">
        <f aca="false">INT(C7/60)&amp;"h "&amp;TEXT(MOD(C7,60),"00")&amp;"m"</f>
        <v>33h 58m</v>
      </c>
      <c r="E7" s="6" t="str">
        <f aca="false">INT(($B$4-C7)/60)&amp;"h "&amp;TEXT(MOD(($B$4-C7),60),"00")&amp;"m"</f>
        <v>79h 14m</v>
      </c>
      <c r="F7" s="6" t="s">
        <v>79</v>
      </c>
    </row>
    <row r="8" customFormat="false" ht="15" hidden="false" customHeight="false" outlineLevel="0" collapsed="false">
      <c r="A8" s="6" t="s">
        <v>80</v>
      </c>
      <c r="B8" s="16" t="n">
        <v>0.35</v>
      </c>
      <c r="C8" s="17" t="n">
        <f aca="false">$B$4*B8</f>
        <v>2377.2</v>
      </c>
      <c r="D8" s="6" t="str">
        <f aca="false">INT(C8/60)&amp;"h "&amp;TEXT(MOD(C8,60),"00")&amp;"m"</f>
        <v>39h 37m</v>
      </c>
      <c r="E8" s="6" t="str">
        <f aca="false">INT(($B$4-C8)/60)&amp;"h "&amp;TEXT(MOD(($B$4-C8),60),"00")&amp;"m"</f>
        <v>73h 35m</v>
      </c>
      <c r="F8" s="6" t="s">
        <v>79</v>
      </c>
    </row>
    <row r="9" customFormat="false" ht="15" hidden="false" customHeight="false" outlineLevel="0" collapsed="false">
      <c r="A9" s="6" t="s">
        <v>81</v>
      </c>
      <c r="B9" s="16" t="n">
        <v>0.4</v>
      </c>
      <c r="C9" s="17" t="n">
        <f aca="false">$B$4*B9</f>
        <v>2716.8</v>
      </c>
      <c r="D9" s="6" t="str">
        <f aca="false">INT(C9/60)&amp;"h "&amp;TEXT(MOD(C9,60),"00")&amp;"m"</f>
        <v>45h 17m</v>
      </c>
      <c r="E9" s="6" t="str">
        <f aca="false">INT(($B$4-C9)/60)&amp;"h "&amp;TEXT(MOD(($B$4-C9),60),"00")&amp;"m"</f>
        <v>67h 55m</v>
      </c>
      <c r="F9" s="6" t="s">
        <v>82</v>
      </c>
    </row>
    <row r="10" customFormat="false" ht="15" hidden="false" customHeight="false" outlineLevel="0" collapsed="false">
      <c r="A10" s="6" t="s">
        <v>83</v>
      </c>
      <c r="B10" s="7" t="n">
        <f aca="false">Aggregates!H7</f>
        <v>0.464222614840989</v>
      </c>
      <c r="C10" s="17" t="n">
        <f aca="false">$B$4*B10</f>
        <v>3153</v>
      </c>
      <c r="D10" s="6" t="str">
        <f aca="false">INT(C10/60)&amp;"h "&amp;TEXT(MOD(C10,60),"00")&amp;"m"</f>
        <v>52h 33m</v>
      </c>
      <c r="E10" s="6" t="str">
        <f aca="false">INT(($B$4-C10)/60)&amp;"h "&amp;TEXT(MOD(($B$4-C10),60),"00")&amp;"m"</f>
        <v>60h 39m</v>
      </c>
      <c r="F10" s="6" t="s">
        <v>84</v>
      </c>
    </row>
    <row r="12" customFormat="false" ht="15" hidden="false" customHeight="false" outlineLevel="0" collapsed="false">
      <c r="A12" s="1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/>
    </row>
    <row r="3" customFormat="false" ht="48" hidden="false" customHeight="true" outlineLevel="0" collapsed="false">
      <c r="A3" s="15" t="s">
        <v>87</v>
      </c>
      <c r="B3" s="3" t="s">
        <v>88</v>
      </c>
    </row>
    <row r="4" customFormat="false" ht="48" hidden="false" customHeight="true" outlineLevel="0" collapsed="false">
      <c r="A4" s="15" t="s">
        <v>89</v>
      </c>
      <c r="B4" s="3" t="s">
        <v>90</v>
      </c>
    </row>
    <row r="5" customFormat="false" ht="48" hidden="false" customHeight="true" outlineLevel="0" collapsed="false">
      <c r="A5" s="15" t="s">
        <v>91</v>
      </c>
      <c r="B5" s="3" t="s">
        <v>92</v>
      </c>
    </row>
    <row r="6" customFormat="false" ht="48" hidden="false" customHeight="true" outlineLevel="0" collapsed="false">
      <c r="A6" s="15" t="s">
        <v>93</v>
      </c>
      <c r="B6" s="3" t="s">
        <v>94</v>
      </c>
    </row>
    <row r="7" customFormat="false" ht="48" hidden="false" customHeight="true" outlineLevel="0" collapsed="false">
      <c r="A7" s="15" t="s">
        <v>95</v>
      </c>
      <c r="B7" s="3" t="s">
        <v>96</v>
      </c>
    </row>
    <row r="8" customFormat="false" ht="48" hidden="false" customHeight="true" outlineLevel="0" collapsed="false">
      <c r="A8" s="15" t="s">
        <v>97</v>
      </c>
      <c r="B8" s="3" t="s">
        <v>98</v>
      </c>
    </row>
    <row r="9" customFormat="false" ht="48" hidden="false" customHeight="true" outlineLevel="0" collapsed="false">
      <c r="A9" s="15" t="s">
        <v>99</v>
      </c>
      <c r="B9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2026-10-26T19:34:55Z</dcterms:created>
  <dc:creator>openpyxl</dc:creator>
  <dc:description/>
  <dc:language>en-US</dc:language>
  <cp:lastModifiedBy/>
  <dcterms:modified xsi:type="dcterms:W3CDTF">2026-10-26T19:34:55Z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